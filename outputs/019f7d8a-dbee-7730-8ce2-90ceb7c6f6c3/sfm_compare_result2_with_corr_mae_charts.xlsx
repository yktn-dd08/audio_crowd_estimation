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8bfef2beb47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fm_compare_result2" sheetId="1" r:id="Re5c2ddad25dc48c0"/>
    <x:sheet xmlns:r="http://schemas.openxmlformats.org/officeDocument/2006/relationships" name="MAE" sheetId="2" r:id="R4ff8edef27b249f6"/>
    <x:sheet xmlns:r="http://schemas.openxmlformats.org/officeDocument/2006/relationships" name="Corr" sheetId="3" r:id="Re075006703f242e1"/>
    <x:sheet xmlns:r="http://schemas.openxmlformats.org/officeDocument/2006/relationships" name="Corr_MAE_Charts" sheetId="4" r:id="R9ddf6446355b4597"/>
  </x:sheets>
</x:workbook>
</file>

<file path=xl/sharedStrings.xml><?xml version="1.0" encoding="utf-8"?>
<x:sst xmlns:x="http://schemas.openxmlformats.org/spreadsheetml/2006/main">
  <x:si>
    <x:t xml:space="preserve">indicator</x:t>
  </x:si>
  <x:si>
    <x:t xml:space="preserve">value</x:t>
  </x:si>
  <x:si>
    <x:t xml:space="preserve">condition</x:t>
  </x:si>
  <x:si>
    <x:t xml:space="preserve">target</x:t>
  </x:si>
  <x:si>
    <x:t xml:space="preserve">json_path</x:t>
  </x:si>
  <x:si>
    <x:t xml:space="preserve">place</x:t>
  </x:si>
  <x:si>
    <x:t xml:space="preserve">algorithm</x:t>
  </x:si>
  <x:si>
    <x:t xml:space="preserve">vel</x:t>
  </x:si>
  <x:si>
    <x:t xml:space="preserve">person</x:t>
  </x:si>
  <x:si>
    <x:t xml:space="preserve">corr</x:t>
  </x:si>
  <x:si>
    <x:t xml:space="preserve">train</x:t>
  </x:si>
  <x:si>
    <x:t xml:space="preserve">distance_3</x:t>
  </x:si>
  <x:si>
    <x:t xml:space="preserve">./workspace/model/train/asphalt/vp_compare/atc_sfm_v18_p100_2atc_SimpleCNN2/train_acc_distance_3.json</x:t>
  </x:si>
  <x:si>
    <x:t xml:space="preserve">atc</x:t>
  </x:si>
  <x:si>
    <x:t xml:space="preserve">sfm</x:t>
  </x:si>
  <x:si>
    <x:t xml:space="preserve">v18</x:t>
  </x:si>
  <x:si>
    <x:t xml:space="preserve">p100</x:t>
  </x:si>
  <x:si>
    <x:t xml:space="preserve">mae</x:t>
  </x:si>
  <x:si>
    <x:t xml:space="preserve">mse</x:t>
  </x:si>
  <x:si>
    <x:t xml:space="preserve">rmse</x:t>
  </x:si>
  <x:si>
    <x:t xml:space="preserve">mape</x:t>
  </x:si>
  <x:si>
    <x:t xml:space="preserve">all</x:t>
  </x:si>
  <x:si>
    <x:t xml:space="preserve">./workspace/model/train/asphalt/vp_compare/atc_sfm_v18_p100_2atc_SimpleCNN2/train_acc_all.json</x:t>
  </x:si>
  <x:si>
    <x:t xml:space="preserve">test</x:t>
  </x:si>
  <x:si>
    <x:t xml:space="preserve">./workspace/model/train/asphalt/vp_compare/atc_sfm_v18_p100_2atc_SimpleCNN2/test_acc_all.json</x:t>
  </x:si>
  <x:si>
    <x:t xml:space="preserve">./workspace/model/train/asphalt/vp_compare/atc_sfm_v18_p100_2atc_SimpleCNN2/test_acc_distance_3.json</x:t>
  </x:si>
  <x:si>
    <x:t xml:space="preserve">./workspace/model/train/asphalt/vp_compare/atc_rnd_p2000_2atc_SimpleCNN2/train_acc_distance_3.json</x:t>
  </x:si>
  <x:si>
    <x:t xml:space="preserve">rnd</x:t>
  </x:si>
  <x:si>
    <x:t xml:space="preserve">p2000</x:t>
  </x:si>
  <x:si>
    <x:t xml:space="preserve">./workspace/model/train/asphalt/vp_compare/atc_rnd_p2000_2atc_SimpleCNN2/train_acc_all.json</x:t>
  </x:si>
  <x:si>
    <x:t xml:space="preserve">./workspace/model/train/asphalt/vp_compare/atc_rnd_p2000_2atc_SimpleCNN2/test_acc_all.json</x:t>
  </x:si>
  <x:si>
    <x:t xml:space="preserve">./workspace/model/train/asphalt/vp_compare/atc_rnd_p2000_2atc_SimpleCNN2/test_acc_distance_3.json</x:t>
  </x:si>
  <x:si>
    <x:t xml:space="preserve">./workspace/model/train/asphalt/vp_compare/rec_sfm_v08_p3000_2atc_SimpleCNN2/train_acc_distance_3.json</x:t>
  </x:si>
  <x:si>
    <x:t xml:space="preserve">rec</x:t>
  </x:si>
  <x:si>
    <x:t xml:space="preserve">v08</x:t>
  </x:si>
  <x:si>
    <x:t xml:space="preserve">p3000</x:t>
  </x:si>
  <x:si>
    <x:t xml:space="preserve">./workspace/model/train/asphalt/vp_compare/rec_sfm_v08_p3000_2atc_SimpleCNN2/train_acc_all.json</x:t>
  </x:si>
  <x:si>
    <x:t xml:space="preserve">./workspace/model/train/asphalt/vp_compare/rec_sfm_v08_p3000_2atc_SimpleCNN2/test_acc_all.json</x:t>
  </x:si>
  <x:si>
    <x:t xml:space="preserve">./workspace/model/train/asphalt/vp_compare/rec_sfm_v08_p3000_2atc_SimpleCNN2/test_acc_distance_3.json</x:t>
  </x:si>
  <x:si>
    <x:t xml:space="preserve">./workspace/model/train/asphalt/vp_compare/atc_rnd_v18_p250_2atc_SimpleCNN2/train_acc_distance_3.json</x:t>
  </x:si>
  <x:si>
    <x:t xml:space="preserve">p250</x:t>
  </x:si>
  <x:si>
    <x:t xml:space="preserve">./workspace/model/train/asphalt/vp_compare/atc_rnd_v18_p250_2atc_SimpleCNN2/train_acc_all.json</x:t>
  </x:si>
  <x:si>
    <x:t xml:space="preserve">./workspace/model/train/asphalt/vp_compare/atc_rnd_v18_p250_2atc_SimpleCNN2/test_acc_all.json</x:t>
  </x:si>
  <x:si>
    <x:t xml:space="preserve">./workspace/model/train/asphalt/vp_compare/atc_rnd_v18_p250_2atc_SimpleCNN2/test_acc_distance_3.json</x:t>
  </x:si>
  <x:si>
    <x:t xml:space="preserve">./workspace/model/train/asphalt/vp_compare/rec_rnd_p50_2atc_SimpleCNN2/train_acc_distance_3.json</x:t>
  </x:si>
  <x:si>
    <x:t xml:space="preserve">p50</x:t>
  </x:si>
  <x:si>
    <x:t xml:space="preserve">./workspace/model/train/asphalt/vp_compare/rec_rnd_p50_2atc_SimpleCNN2/train_acc_all.json</x:t>
  </x:si>
  <x:si>
    <x:t xml:space="preserve">./workspace/model/train/asphalt/vp_compare/rec_rnd_p50_2atc_SimpleCNN2/test_acc_all.json</x:t>
  </x:si>
  <x:si>
    <x:t xml:space="preserve">./workspace/model/train/asphalt/vp_compare/rec_rnd_p50_2atc_SimpleCNN2/test_acc_distance_3.json</x:t>
  </x:si>
  <x:si>
    <x:t xml:space="preserve">./workspace/model/train/asphalt/vp_compare/rec_rnd_p100_2atc_SimpleCNN2/train_acc_distance_3.json</x:t>
  </x:si>
  <x:si>
    <x:t xml:space="preserve">./workspace/model/train/asphalt/vp_compare/rec_rnd_p100_2atc_SimpleCNN2/train_acc_all.json</x:t>
  </x:si>
  <x:si>
    <x:t xml:space="preserve">./workspace/model/train/asphalt/vp_compare/rec_rnd_p100_2atc_SimpleCNN2/test_acc_all.json</x:t>
  </x:si>
  <x:si>
    <x:t xml:space="preserve">./workspace/model/train/asphalt/vp_compare/rec_rnd_p100_2atc_SimpleCNN2/test_acc_distance_3.json</x:t>
  </x:si>
  <x:si>
    <x:t xml:space="preserve">./workspace/model/train/asphalt/vp_compare/atc_sfm_v18_p3000_2atc_SimpleCNN2/train_acc_distance_3.json</x:t>
  </x:si>
  <x:si>
    <x:t xml:space="preserve">./workspace/model/train/asphalt/vp_compare/atc_sfm_v18_p3000_2atc_SimpleCNN2/train_acc_all.json</x:t>
  </x:si>
  <x:si>
    <x:t xml:space="preserve">./workspace/model/train/asphalt/vp_compare/atc_sfm_v18_p3000_2atc_SimpleCNN2/test_acc_all.json</x:t>
  </x:si>
  <x:si>
    <x:t xml:space="preserve">./workspace/model/train/asphalt/vp_compare/atc_sfm_v18_p3000_2atc_SimpleCNN2/test_acc_distance_3.json</x:t>
  </x:si>
  <x:si>
    <x:t xml:space="preserve">./workspace/model/train/asphalt/vp_compare/rec_rnd_p2500_2atc_SimpleCNN2/train_acc_distance_3.json</x:t>
  </x:si>
  <x:si>
    <x:t xml:space="preserve">p2500</x:t>
  </x:si>
  <x:si>
    <x:t xml:space="preserve">./workspace/model/train/asphalt/vp_compare/rec_rnd_p2500_2atc_SimpleCNN2/train_acc_all.json</x:t>
  </x:si>
  <x:si>
    <x:t xml:space="preserve">./workspace/model/train/asphalt/vp_compare/rec_rnd_p2500_2atc_SimpleCNN2/test_acc_all.json</x:t>
  </x:si>
  <x:si>
    <x:t xml:space="preserve">./workspace/model/train/asphalt/vp_compare/rec_rnd_p2500_2atc_SimpleCNN2/test_acc_distance_3.json</x:t>
  </x:si>
  <x:si>
    <x:t xml:space="preserve">./workspace/model/train/asphalt/vp_compare/atc_rnd_p2500_2atc_SimpleCNN2/train_acc_distance_3.json</x:t>
  </x:si>
  <x:si>
    <x:t xml:space="preserve">./workspace/model/train/asphalt/vp_compare/atc_rnd_p2500_2atc_SimpleCNN2/train_acc_all.json</x:t>
  </x:si>
  <x:si>
    <x:t xml:space="preserve">./workspace/model/train/asphalt/vp_compare/atc_rnd_p2500_2atc_SimpleCNN2/test_acc_all.json</x:t>
  </x:si>
  <x:si>
    <x:t xml:space="preserve">./workspace/model/train/asphalt/vp_compare/atc_rnd_p2500_2atc_SimpleCNN2/test_acc_distance_3.json</x:t>
  </x:si>
  <x:si>
    <x:t xml:space="preserve">./workspace/model/train/asphalt/vp_compare/atc_rnd_v18_p100_2atc_SimpleCNN2/train_acc_distance_3.json</x:t>
  </x:si>
  <x:si>
    <x:t xml:space="preserve">./workspace/model/train/asphalt/vp_compare/atc_rnd_v18_p100_2atc_SimpleCNN2/train_acc_all.json</x:t>
  </x:si>
  <x:si>
    <x:t xml:space="preserve">./workspace/model/train/asphalt/vp_compare/atc_rnd_v18_p100_2atc_SimpleCNN2/test_acc_all.json</x:t>
  </x:si>
  <x:si>
    <x:t xml:space="preserve">./workspace/model/train/asphalt/vp_compare/atc_rnd_v18_p100_2atc_SimpleCNN2/test_acc_distance_3.json</x:t>
  </x:si>
  <x:si>
    <x:t xml:space="preserve">./workspace/model/train/asphalt/vp_compare/atc_sfm_v18_p250_2atc_SimpleCNN2/train_acc_distance_3.json</x:t>
  </x:si>
  <x:si>
    <x:t xml:space="preserve">./workspace/model/train/asphalt/vp_compare/atc_sfm_v18_p250_2atc_SimpleCNN2/train_acc_all.json</x:t>
  </x:si>
  <x:si>
    <x:t xml:space="preserve">./workspace/model/train/asphalt/vp_compare/atc_sfm_v18_p250_2atc_SimpleCNN2/test_acc_all.json</x:t>
  </x:si>
  <x:si>
    <x:t xml:space="preserve">./workspace/model/train/asphalt/vp_compare/atc_sfm_v18_p250_2atc_SimpleCNN2/test_acc_distance_3.json</x:t>
  </x:si>
  <x:si>
    <x:t xml:space="preserve">./workspace/model/train/asphalt/vp_compare/rec_rnd_p2000_2atc_SimpleCNN2/train_acc_distance_3.json</x:t>
  </x:si>
  <x:si>
    <x:t xml:space="preserve">./workspace/model/train/asphalt/vp_compare/rec_rnd_p2000_2atc_SimpleCNN2/train_acc_all.json</x:t>
  </x:si>
  <x:si>
    <x:t xml:space="preserve">./workspace/model/train/asphalt/vp_compare/rec_rnd_p2000_2atc_SimpleCNN2/test_acc_all.json</x:t>
  </x:si>
  <x:si>
    <x:t xml:space="preserve">./workspace/model/train/asphalt/vp_compare/rec_rnd_p2000_2atc_SimpleCNN2/test_acc_distance_3.json</x:t>
  </x:si>
  <x:si>
    <x:t xml:space="preserve">./workspace/model/train/asphalt/vp_compare/rec_rnd_p250_2atc_SimpleCNN2/train_acc_distance_3.json</x:t>
  </x:si>
  <x:si>
    <x:t xml:space="preserve">./workspace/model/train/asphalt/vp_compare/rec_rnd_p250_2atc_SimpleCNN2/train_acc_all.json</x:t>
  </x:si>
  <x:si>
    <x:t xml:space="preserve">./workspace/model/train/asphalt/vp_compare/rec_rnd_p250_2atc_SimpleCNN2/test_acc_all.json</x:t>
  </x:si>
  <x:si>
    <x:t xml:space="preserve">./workspace/model/train/asphalt/vp_compare/rec_rnd_p250_2atc_SimpleCNN2/test_acc_distance_3.json</x:t>
  </x:si>
  <x:si>
    <x:t xml:space="preserve">./workspace/model/train/asphalt/vp_compare/atc_sfm_p50_2atc_SimpleCNN2/train_acc_distance_3.json</x:t>
  </x:si>
  <x:si>
    <x:t xml:space="preserve">./workspace/model/train/asphalt/vp_compare/atc_sfm_p50_2atc_SimpleCNN2/train_acc_all.json</x:t>
  </x:si>
  <x:si>
    <x:t xml:space="preserve">./workspace/model/train/asphalt/vp_compare/atc_sfm_p50_2atc_SimpleCNN2/test_acc_all.json</x:t>
  </x:si>
  <x:si>
    <x:t xml:space="preserve">./workspace/model/train/asphalt/vp_compare/atc_sfm_p50_2atc_SimpleCNN2/test_acc_distance_3.json</x:t>
  </x:si>
  <x:si>
    <x:t xml:space="preserve">./workspace/model/train/asphalt/vp_compare/atc_rnd_v18_p500_2atc_SimpleCNN2/train_acc_distance_3.json</x:t>
  </x:si>
  <x:si>
    <x:t xml:space="preserve">p500</x:t>
  </x:si>
  <x:si>
    <x:t xml:space="preserve">./workspace/model/train/asphalt/vp_compare/atc_rnd_v18_p500_2atc_SimpleCNN2/train_acc_all.json</x:t>
  </x:si>
  <x:si>
    <x:t xml:space="preserve">./workspace/model/train/asphalt/vp_compare/atc_rnd_v18_p500_2atc_SimpleCNN2/test_acc_all.json</x:t>
  </x:si>
  <x:si>
    <x:t xml:space="preserve">./workspace/model/train/asphalt/vp_compare/atc_rnd_v18_p500_2atc_SimpleCNN2/test_acc_distance_3.json</x:t>
  </x:si>
  <x:si>
    <x:t xml:space="preserve">./workspace/model/train/asphalt/vp_compare/rec_rnd_p1000_2atc_SimpleCNN2/train_acc_distance_3.json</x:t>
  </x:si>
  <x:si>
    <x:t xml:space="preserve">p1000</x:t>
  </x:si>
  <x:si>
    <x:t xml:space="preserve">./workspace/model/train/asphalt/vp_compare/rec_rnd_p1000_2atc_SimpleCNN2/train_acc_all.json</x:t>
  </x:si>
  <x:si>
    <x:t xml:space="preserve">./workspace/model/train/asphalt/vp_compare/rec_rnd_p1000_2atc_SimpleCNN2/test_acc_all.json</x:t>
  </x:si>
  <x:si>
    <x:t xml:space="preserve">./workspace/model/train/asphalt/vp_compare/rec_rnd_p1000_2atc_SimpleCNN2/test_acc_distance_3.json</x:t>
  </x:si>
  <x:si>
    <x:t xml:space="preserve">./workspace/model/train/asphalt/vp_compare/atc_rnd_p1500_2atc_SimpleCNN2/train_acc_distance_3.json</x:t>
  </x:si>
  <x:si>
    <x:t xml:space="preserve">p1500</x:t>
  </x:si>
  <x:si>
    <x:t xml:space="preserve">./workspace/model/train/asphalt/vp_compare/atc_rnd_p1500_2atc_SimpleCNN2/train_acc_all.json</x:t>
  </x:si>
  <x:si>
    <x:t xml:space="preserve">./workspace/model/train/asphalt/vp_compare/atc_rnd_p1500_2atc_SimpleCNN2/test_acc_all.json</x:t>
  </x:si>
  <x:si>
    <x:t xml:space="preserve">./workspace/model/train/asphalt/vp_compare/atc_rnd_p1500_2atc_SimpleCNN2/test_acc_distance_3.json</x:t>
  </x:si>
  <x:si>
    <x:t xml:space="preserve">./workspace/model/train/asphalt/vp_compare/atc_rnd_v08_p50_2atc_SimpleCNN2/train_acc_distance_3.json</x:t>
  </x:si>
  <x:si>
    <x:t xml:space="preserve">./workspace/model/train/asphalt/vp_compare/atc_rnd_v08_p50_2atc_SimpleCNN2/train_acc_all.json</x:t>
  </x:si>
  <x:si>
    <x:t xml:space="preserve">./workspace/model/train/asphalt/vp_compare/atc_rnd_v08_p50_2atc_SimpleCNN2/test_acc_all.json</x:t>
  </x:si>
  <x:si>
    <x:t xml:space="preserve">./workspace/model/train/asphalt/vp_compare/atc_rnd_v08_p50_2atc_SimpleCNN2/test_acc_distance_3.json</x:t>
  </x:si>
  <x:si>
    <x:t xml:space="preserve">./workspace/model/train/asphalt/vp_compare/rec_rnd_v08_p50_2atc_SimpleCNN2/train_acc_distance_3.json</x:t>
  </x:si>
  <x:si>
    <x:t xml:space="preserve">./workspace/model/train/asphalt/vp_compare/rec_rnd_v08_p50_2atc_SimpleCNN2/train_acc_all.json</x:t>
  </x:si>
  <x:si>
    <x:t xml:space="preserve">./workspace/model/train/asphalt/vp_compare/rec_rnd_v08_p50_2atc_SimpleCNN2/test_acc_all.json</x:t>
  </x:si>
  <x:si>
    <x:t xml:space="preserve">./workspace/model/train/asphalt/vp_compare/rec_rnd_v08_p50_2atc_SimpleCNN2/test_acc_distance_3.json</x:t>
  </x:si>
  <x:si>
    <x:t xml:space="preserve">./workspace/model/train/asphalt/vp_compare/rec_sfm_v08_p50_2atc_SimpleCNN2/train_acc_distance_3.json</x:t>
  </x:si>
  <x:si>
    <x:t xml:space="preserve">./workspace/model/train/asphalt/vp_compare/rec_sfm_v08_p50_2atc_SimpleCNN2/train_acc_all.json</x:t>
  </x:si>
  <x:si>
    <x:t xml:space="preserve">./workspace/model/train/asphalt/vp_compare/rec_sfm_v08_p50_2atc_SimpleCNN2/test_acc_all.json</x:t>
  </x:si>
  <x:si>
    <x:t xml:space="preserve">./workspace/model/train/asphalt/vp_compare/rec_sfm_v08_p50_2atc_SimpleCNN2/test_acc_distance_3.json</x:t>
  </x:si>
  <x:si>
    <x:t xml:space="preserve">./workspace/model/train/asphalt/vp_compare/atc_sfm_v08_p50_2atc_SimpleCNN2/train_acc_distance_3.json</x:t>
  </x:si>
  <x:si>
    <x:t xml:space="preserve">./workspace/model/train/asphalt/vp_compare/atc_sfm_v08_p50_2atc_SimpleCNN2/train_acc_all.json</x:t>
  </x:si>
  <x:si>
    <x:t xml:space="preserve">./workspace/model/train/asphalt/vp_compare/atc_sfm_v08_p50_2atc_SimpleCNN2/test_acc_all.json</x:t>
  </x:si>
  <x:si>
    <x:t xml:space="preserve">./workspace/model/train/asphalt/vp_compare/atc_sfm_v08_p50_2atc_SimpleCNN2/test_acc_distance_3.json</x:t>
  </x:si>
  <x:si>
    <x:t xml:space="preserve">./workspace/model/train/asphalt/vp_compare/atc_sfm_v18_p500_2atc_SimpleCNN2/train_acc_distance_3.json</x:t>
  </x:si>
  <x:si>
    <x:t xml:space="preserve">./workspace/model/train/asphalt/vp_compare/atc_sfm_v18_p500_2atc_SimpleCNN2/train_acc_all.json</x:t>
  </x:si>
  <x:si>
    <x:t xml:space="preserve">./workspace/model/train/asphalt/vp_compare/atc_sfm_v18_p500_2atc_SimpleCNN2/test_acc_all.json</x:t>
  </x:si>
  <x:si>
    <x:t xml:space="preserve">./workspace/model/train/asphalt/vp_compare/atc_sfm_v18_p500_2atc_SimpleCNN2/test_acc_distance_3.json</x:t>
  </x:si>
  <x:si>
    <x:t xml:space="preserve">./workspace/model/train/asphalt/vp_compare/rec_rnd_p1500_2atc_SimpleCNN2/train_acc_distance_3.json</x:t>
  </x:si>
  <x:si>
    <x:t xml:space="preserve">./workspace/model/train/asphalt/vp_compare/rec_rnd_p1500_2atc_SimpleCNN2/train_acc_all.json</x:t>
  </x:si>
  <x:si>
    <x:t xml:space="preserve">./workspace/model/train/asphalt/vp_compare/rec_rnd_p1500_2atc_SimpleCNN2/test_acc_all.json</x:t>
  </x:si>
  <x:si>
    <x:t xml:space="preserve">./workspace/model/train/asphalt/vp_compare/rec_rnd_p1500_2atc_SimpleCNN2/test_acc_distance_3.json</x:t>
  </x:si>
  <x:si>
    <x:t xml:space="preserve">./workspace/model/train/asphalt/vp_compare/rec_rnd_p500_2atc_SimpleCNN2/train_acc_distance_3.json</x:t>
  </x:si>
  <x:si>
    <x:t xml:space="preserve">./workspace/model/train/asphalt/vp_compare/rec_rnd_p500_2atc_SimpleCNN2/train_acc_all.json</x:t>
  </x:si>
  <x:si>
    <x:t xml:space="preserve">./workspace/model/train/asphalt/vp_compare/rec_rnd_p500_2atc_SimpleCNN2/test_acc_all.json</x:t>
  </x:si>
  <x:si>
    <x:t xml:space="preserve">./workspace/model/train/asphalt/vp_compare/rec_rnd_p500_2atc_SimpleCNN2/test_acc_distance_3.json</x:t>
  </x:si>
  <x:si>
    <x:t xml:space="preserve">./workspace/model/train/asphalt/vp_compare/atc_rnd_p1000_2atc_SimpleCNN2/train_acc_distance_3.json</x:t>
  </x:si>
  <x:si>
    <x:t xml:space="preserve">./workspace/model/train/asphalt/vp_compare/atc_rnd_p1000_2atc_SimpleCNN2/train_acc_all.json</x:t>
  </x:si>
  <x:si>
    <x:t xml:space="preserve">./workspace/model/train/asphalt/vp_compare/atc_rnd_p1000_2atc_SimpleCNN2/test_acc_all.json</x:t>
  </x:si>
  <x:si>
    <x:t xml:space="preserve">./workspace/model/train/asphalt/vp_compare/atc_rnd_p1000_2atc_SimpleCNN2/test_acc_distance_3.json</x:t>
  </x:si>
  <x:si>
    <x:t xml:space="preserve">./workspace/model/train/asphalt/vp_compare/rec_sfm_p1500_2atc_SimpleCNN2/train_acc_distance_3.json</x:t>
  </x:si>
  <x:si>
    <x:t xml:space="preserve">./workspace/model/train/asphalt/vp_compare/rec_sfm_p1500_2atc_SimpleCNN2/train_acc_all.json</x:t>
  </x:si>
  <x:si>
    <x:t xml:space="preserve">./workspace/model/train/asphalt/vp_compare/rec_sfm_p1500_2atc_SimpleCNN2/test_acc_all.json</x:t>
  </x:si>
  <x:si>
    <x:t xml:space="preserve">./workspace/model/train/asphalt/vp_compare/rec_sfm_p1500_2atc_SimpleCNN2/test_acc_distance_3.json</x:t>
  </x:si>
  <x:si>
    <x:t xml:space="preserve">./workspace/model/train/asphalt/vp_compare/rec_sfm_v18_p100_2atc_SimpleCNN2/train_acc_distance_3.json</x:t>
  </x:si>
  <x:si>
    <x:t xml:space="preserve">./workspace/model/train/asphalt/vp_compare/rec_sfm_v18_p100_2atc_SimpleCNN2/train_acc_all.json</x:t>
  </x:si>
  <x:si>
    <x:t xml:space="preserve">./workspace/model/train/asphalt/vp_compare/rec_sfm_v18_p100_2atc_SimpleCNN2/test_acc_all.json</x:t>
  </x:si>
  <x:si>
    <x:t xml:space="preserve">./workspace/model/train/asphalt/vp_compare/rec_sfm_v18_p100_2atc_SimpleCNN2/test_acc_distance_3.json</x:t>
  </x:si>
  <x:si>
    <x:t xml:space="preserve">./workspace/model/train/asphalt/vp_compare/atc_sfm_p1000_2atc_SimpleCNN2/train_acc_distance_3.json</x:t>
  </x:si>
  <x:si>
    <x:t xml:space="preserve">./workspace/model/train/asphalt/vp_compare/atc_sfm_p1000_2atc_SimpleCNN2/train_acc_all.json</x:t>
  </x:si>
  <x:si>
    <x:t xml:space="preserve">./workspace/model/train/asphalt/vp_compare/atc_sfm_p1000_2atc_SimpleCNN2/test_acc_all.json</x:t>
  </x:si>
  <x:si>
    <x:t xml:space="preserve">./workspace/model/train/asphalt/vp_compare/atc_sfm_p1000_2atc_SimpleCNN2/test_acc_distance_3.json</x:t>
  </x:si>
  <x:si>
    <x:t xml:space="preserve">./workspace/model/train/asphalt/vp_compare/atc_sfm_p250_2atc_SimpleCNN2/train_acc_distance_3.json</x:t>
  </x:si>
  <x:si>
    <x:t xml:space="preserve">./workspace/model/train/asphalt/vp_compare/atc_sfm_p250_2atc_SimpleCNN2/train_acc_all.json</x:t>
  </x:si>
  <x:si>
    <x:t xml:space="preserve">./workspace/model/train/asphalt/vp_compare/atc_sfm_p250_2atc_SimpleCNN2/test_acc_all.json</x:t>
  </x:si>
  <x:si>
    <x:t xml:space="preserve">./workspace/model/train/asphalt/vp_compare/atc_sfm_p250_2atc_SimpleCNN2/test_acc_distance_3.json</x:t>
  </x:si>
  <x:si>
    <x:t xml:space="preserve">./workspace/model/train/asphalt/vp_compare/rec_sfm_v18_p250_2atc_SimpleCNN2/train_acc_distance_3.json</x:t>
  </x:si>
  <x:si>
    <x:t xml:space="preserve">./workspace/model/train/asphalt/vp_compare/rec_sfm_v18_p250_2atc_SimpleCNN2/train_acc_all.json</x:t>
  </x:si>
  <x:si>
    <x:t xml:space="preserve">./workspace/model/train/asphalt/vp_compare/rec_sfm_v18_p250_2atc_SimpleCNN2/test_acc_all.json</x:t>
  </x:si>
  <x:si>
    <x:t xml:space="preserve">./workspace/model/train/asphalt/vp_compare/rec_sfm_v18_p250_2atc_SimpleCNN2/test_acc_distance_3.json</x:t>
  </x:si>
  <x:si>
    <x:t xml:space="preserve">./workspace/model/train/asphalt/vp_compare/rec_sfm_p1000_2atc_SimpleCNN2/train_acc_distance_3.json</x:t>
  </x:si>
  <x:si>
    <x:t xml:space="preserve">./workspace/model/train/asphalt/vp_compare/rec_sfm_p1000_2atc_SimpleCNN2/train_acc_all.json</x:t>
  </x:si>
  <x:si>
    <x:t xml:space="preserve">./workspace/model/train/asphalt/vp_compare/rec_sfm_p1000_2atc_SimpleCNN2/test_acc_all.json</x:t>
  </x:si>
  <x:si>
    <x:t xml:space="preserve">./workspace/model/train/asphalt/vp_compare/rec_sfm_p1000_2atc_SimpleCNN2/test_acc_distance_3.json</x:t>
  </x:si>
  <x:si>
    <x:t xml:space="preserve">./workspace/model/train/asphalt/vp_compare/atc_sfm_p100_2atc_SimpleCNN2/train_acc_distance_3.json</x:t>
  </x:si>
  <x:si>
    <x:t xml:space="preserve">./workspace/model/train/asphalt/vp_compare/atc_sfm_p100_2atc_SimpleCNN2/train_acc_all.json</x:t>
  </x:si>
  <x:si>
    <x:t xml:space="preserve">./workspace/model/train/asphalt/vp_compare/atc_sfm_p100_2atc_SimpleCNN2/test_acc_all.json</x:t>
  </x:si>
  <x:si>
    <x:t xml:space="preserve">./workspace/model/train/asphalt/vp_compare/atc_sfm_p100_2atc_SimpleCNN2/test_acc_distance_3.json</x:t>
  </x:si>
  <x:si>
    <x:t xml:space="preserve">./workspace/model/train/asphalt/vp_compare/atc_sfm_p1500_2atc_SimpleCNN2/train_acc_distance_3.json</x:t>
  </x:si>
  <x:si>
    <x:t xml:space="preserve">./workspace/model/train/asphalt/vp_compare/atc_sfm_p1500_2atc_SimpleCNN2/train_acc_all.json</x:t>
  </x:si>
  <x:si>
    <x:t xml:space="preserve">./workspace/model/train/asphalt/vp_compare/atc_sfm_p1500_2atc_SimpleCNN2/test_acc_all.json</x:t>
  </x:si>
  <x:si>
    <x:t xml:space="preserve">./workspace/model/train/asphalt/vp_compare/atc_sfm_p1500_2atc_SimpleCNN2/test_acc_distance_3.json</x:t>
  </x:si>
  <x:si>
    <x:t xml:space="preserve">./workspace/model/train/asphalt/vp_compare/atc_rnd_p50_2atc_SimpleCNN2/train_acc_distance_3.json</x:t>
  </x:si>
  <x:si>
    <x:t xml:space="preserve">./workspace/model/train/asphalt/vp_compare/atc_rnd_p50_2atc_SimpleCNN2/train_acc_all.json</x:t>
  </x:si>
  <x:si>
    <x:t xml:space="preserve">./workspace/model/train/asphalt/vp_compare/atc_rnd_p50_2atc_SimpleCNN2/test_acc_all.json</x:t>
  </x:si>
  <x:si>
    <x:t xml:space="preserve">./workspace/model/train/asphalt/vp_compare/atc_rnd_p50_2atc_SimpleCNN2/test_acc_distance_3.json</x:t>
  </x:si>
  <x:si>
    <x:t xml:space="preserve">./workspace/model/train/asphalt/vp_compare/atc_sfm_p2500_2atc_SimpleCNN2/train_acc_distance_3.json</x:t>
  </x:si>
  <x:si>
    <x:t xml:space="preserve">./workspace/model/train/asphalt/vp_compare/atc_sfm_p2500_2atc_SimpleCNN2/train_acc_all.json</x:t>
  </x:si>
  <x:si>
    <x:t xml:space="preserve">./workspace/model/train/asphalt/vp_compare/atc_sfm_p2500_2atc_SimpleCNN2/test_acc_all.json</x:t>
  </x:si>
  <x:si>
    <x:t xml:space="preserve">./workspace/model/train/asphalt/vp_compare/atc_sfm_p2500_2atc_SimpleCNN2/test_acc_distance_3.json</x:t>
  </x:si>
  <x:si>
    <x:t xml:space="preserve">./workspace/model/train/asphalt/vp_compare/rec_sfm_p2000_2atc_SimpleCNN2/train_acc_distance_3.json</x:t>
  </x:si>
  <x:si>
    <x:t xml:space="preserve">./workspace/model/train/asphalt/vp_compare/rec_sfm_p2000_2atc_SimpleCNN2/train_acc_all.json</x:t>
  </x:si>
  <x:si>
    <x:t xml:space="preserve">./workspace/model/train/asphalt/vp_compare/rec_sfm_p2000_2atc_SimpleCNN2/test_acc_all.json</x:t>
  </x:si>
  <x:si>
    <x:t xml:space="preserve">./workspace/model/train/asphalt/vp_compare/rec_sfm_p2000_2atc_SimpleCNN2/test_acc_distance_3.json</x:t>
  </x:si>
  <x:si>
    <x:t xml:space="preserve">./workspace/model/train/asphalt/vp_compare/atc_sfm_p2000_2atc_SimpleCNN2/train_acc_distance_3.json</x:t>
  </x:si>
  <x:si>
    <x:t xml:space="preserve">./workspace/model/train/asphalt/vp_compare/atc_sfm_p2000_2atc_SimpleCNN2/train_acc_all.json</x:t>
  </x:si>
  <x:si>
    <x:t xml:space="preserve">./workspace/model/train/asphalt/vp_compare/atc_sfm_p2000_2atc_SimpleCNN2/test_acc_all.json</x:t>
  </x:si>
  <x:si>
    <x:t xml:space="preserve">./workspace/model/train/asphalt/vp_compare/atc_sfm_p2000_2atc_SimpleCNN2/test_acc_distance_3.json</x:t>
  </x:si>
  <x:si>
    <x:t xml:space="preserve">./workspace/model/train/asphalt/vp_compare/atc_sfm_v08_p3000_2atc_SimpleCNN2/train_acc_distance_3.json</x:t>
  </x:si>
  <x:si>
    <x:t xml:space="preserve">./workspace/model/train/asphalt/vp_compare/atc_sfm_v08_p3000_2atc_SimpleCNN2/train_acc_all.json</x:t>
  </x:si>
  <x:si>
    <x:t xml:space="preserve">./workspace/model/train/asphalt/vp_compare/atc_sfm_v08_p3000_2atc_SimpleCNN2/test_acc_all.json</x:t>
  </x:si>
  <x:si>
    <x:t xml:space="preserve">./workspace/model/train/asphalt/vp_compare/atc_sfm_v08_p3000_2atc_SimpleCNN2/test_acc_distance_3.json</x:t>
  </x:si>
  <x:si>
    <x:t xml:space="preserve">./workspace/model/train/asphalt/vp_compare/rec_sfm_v18_p500_2atc_SimpleCNN2/train_acc_distance_3.json</x:t>
  </x:si>
  <x:si>
    <x:t xml:space="preserve">./workspace/model/train/asphalt/vp_compare/rec_sfm_v18_p500_2atc_SimpleCNN2/train_acc_all.json</x:t>
  </x:si>
  <x:si>
    <x:t xml:space="preserve">./workspace/model/train/asphalt/vp_compare/rec_sfm_v18_p500_2atc_SimpleCNN2/test_acc_all.json</x:t>
  </x:si>
  <x:si>
    <x:t xml:space="preserve">./workspace/model/train/asphalt/vp_compare/rec_sfm_v18_p500_2atc_SimpleCNN2/test_acc_distance_3.json</x:t>
  </x:si>
  <x:si>
    <x:t xml:space="preserve">./workspace/model/train/asphalt/vp_compare/rec_sfm_p50_2atc_SimpleCNN2/train_acc_distance_3.json</x:t>
  </x:si>
  <x:si>
    <x:t xml:space="preserve">./workspace/model/train/asphalt/vp_compare/rec_sfm_p50_2atc_SimpleCNN2/train_acc_all.json</x:t>
  </x:si>
  <x:si>
    <x:t xml:space="preserve">./workspace/model/train/asphalt/vp_compare/rec_sfm_p50_2atc_SimpleCNN2/test_acc_all.json</x:t>
  </x:si>
  <x:si>
    <x:t xml:space="preserve">./workspace/model/train/asphalt/vp_compare/rec_sfm_p50_2atc_SimpleCNN2/test_acc_distance_3.json</x:t>
  </x:si>
  <x:si>
    <x:t xml:space="preserve">./workspace/model/train/asphalt/vp_compare/atc_sfm_v18_p50_2atc_SimpleCNN2/train_acc_distance_3.json</x:t>
  </x:si>
  <x:si>
    <x:t xml:space="preserve">./workspace/model/train/asphalt/vp_compare/atc_sfm_v18_p50_2atc_SimpleCNN2/train_acc_all.json</x:t>
  </x:si>
  <x:si>
    <x:t xml:space="preserve">./workspace/model/train/asphalt/vp_compare/atc_sfm_v18_p50_2atc_SimpleCNN2/test_acc_all.json</x:t>
  </x:si>
  <x:si>
    <x:t xml:space="preserve">./workspace/model/train/asphalt/vp_compare/atc_sfm_v18_p50_2atc_SimpleCNN2/test_acc_distance_3.json</x:t>
  </x:si>
  <x:si>
    <x:t xml:space="preserve">./workspace/model/train/asphalt/vp_compare/rec_sfm_v18_p3000_2atc_SimpleCNN2/train_acc_distance_3.json</x:t>
  </x:si>
  <x:si>
    <x:t xml:space="preserve">./workspace/model/train/asphalt/vp_compare/rec_sfm_v18_p3000_2atc_SimpleCNN2/train_acc_all.json</x:t>
  </x:si>
  <x:si>
    <x:t xml:space="preserve">./workspace/model/train/asphalt/vp_compare/rec_sfm_v18_p3000_2atc_SimpleCNN2/test_acc_all.json</x:t>
  </x:si>
  <x:si>
    <x:t xml:space="preserve">./workspace/model/train/asphalt/vp_compare/rec_sfm_v18_p3000_2atc_SimpleCNN2/test_acc_distance_3.json</x:t>
  </x:si>
  <x:si>
    <x:t xml:space="preserve">./workspace/model/train/asphalt/vp_compare/rec_sfm_v18_p50_2atc_SimpleCNN2/train_acc_distance_3.json</x:t>
  </x:si>
  <x:si>
    <x:t xml:space="preserve">./workspace/model/train/asphalt/vp_compare/rec_sfm_v18_p50_2atc_SimpleCNN2/train_acc_all.json</x:t>
  </x:si>
  <x:si>
    <x:t xml:space="preserve">./workspace/model/train/asphalt/vp_compare/rec_sfm_v18_p50_2atc_SimpleCNN2/test_acc_all.json</x:t>
  </x:si>
  <x:si>
    <x:t xml:space="preserve">./workspace/model/train/asphalt/vp_compare/rec_sfm_v18_p50_2atc_SimpleCNN2/test_acc_distance_3.json</x:t>
  </x:si>
  <x:si>
    <x:t xml:space="preserve">./workspace/model/train/asphalt/vp_compare/atc_rnd_v18_p50_2atc_SimpleCNN2/train_acc_distance_3.json</x:t>
  </x:si>
  <x:si>
    <x:t xml:space="preserve">./workspace/model/train/asphalt/vp_compare/atc_rnd_v18_p50_2atc_SimpleCNN2/train_acc_all.json</x:t>
  </x:si>
  <x:si>
    <x:t xml:space="preserve">./workspace/model/train/asphalt/vp_compare/atc_rnd_v18_p50_2atc_SimpleCNN2/test_acc_all.json</x:t>
  </x:si>
  <x:si>
    <x:t xml:space="preserve">./workspace/model/train/asphalt/vp_compare/atc_rnd_v18_p50_2atc_SimpleCNN2/test_acc_distance_3.json</x:t>
  </x:si>
  <x:si>
    <x:t xml:space="preserve">./workspace/model/train/asphalt/vp_compare/rec_sfm_p2500_2atc_SimpleCNN2/train_acc_distance_3.json</x:t>
  </x:si>
  <x:si>
    <x:t xml:space="preserve">./workspace/model/train/asphalt/vp_compare/rec_sfm_p2500_2atc_SimpleCNN2/train_acc_all.json</x:t>
  </x:si>
  <x:si>
    <x:t xml:space="preserve">./workspace/model/train/asphalt/vp_compare/rec_sfm_p2500_2atc_SimpleCNN2/test_acc_all.json</x:t>
  </x:si>
  <x:si>
    <x:t xml:space="preserve">./workspace/model/train/asphalt/vp_compare/rec_sfm_p2500_2atc_SimpleCNN2/test_acc_distance_3.json</x:t>
  </x:si>
  <x:si>
    <x:t xml:space="preserve">./workspace/model/train/asphalt/vp_compare/atc_sfm_v08_p250_2atc_SimpleCNN2/train_acc_distance_3.json</x:t>
  </x:si>
  <x:si>
    <x:t xml:space="preserve">./workspace/model/train/asphalt/vp_compare/atc_sfm_v08_p250_2atc_SimpleCNN2/train_acc_all.json</x:t>
  </x:si>
  <x:si>
    <x:t xml:space="preserve">./workspace/model/train/asphalt/vp_compare/atc_sfm_v08_p250_2atc_SimpleCNN2/test_acc_all.json</x:t>
  </x:si>
  <x:si>
    <x:t xml:space="preserve">./workspace/model/train/asphalt/vp_compare/atc_sfm_v08_p250_2atc_SimpleCNN2/test_acc_distance_3.json</x:t>
  </x:si>
  <x:si>
    <x:t xml:space="preserve">./workspace/model/train/asphalt/vp_compare/rec_sfm_p3000_2atc_SimpleCNN2/train_acc_distance_3.json</x:t>
  </x:si>
  <x:si>
    <x:t xml:space="preserve">./workspace/model/train/asphalt/vp_compare/rec_sfm_p3000_2atc_SimpleCNN2/train_acc_all.json</x:t>
  </x:si>
  <x:si>
    <x:t xml:space="preserve">./workspace/model/train/asphalt/vp_compare/rec_sfm_p3000_2atc_SimpleCNN2/test_acc_all.json</x:t>
  </x:si>
  <x:si>
    <x:t xml:space="preserve">./workspace/model/train/asphalt/vp_compare/rec_sfm_p3000_2atc_SimpleCNN2/test_acc_distance_3.json</x:t>
  </x:si>
  <x:si>
    <x:t xml:space="preserve">./workspace/model/train/asphalt/vp_compare/atc_rnd_v08_p100_2atc_SimpleCNN2/train_acc_distance_3.json</x:t>
  </x:si>
  <x:si>
    <x:t xml:space="preserve">./workspace/model/train/asphalt/vp_compare/atc_rnd_v08_p100_2atc_SimpleCNN2/train_acc_all.json</x:t>
  </x:si>
  <x:si>
    <x:t xml:space="preserve">./workspace/model/train/asphalt/vp_compare/atc_rnd_v08_p100_2atc_SimpleCNN2/test_acc_all.json</x:t>
  </x:si>
  <x:si>
    <x:t xml:space="preserve">./workspace/model/train/asphalt/vp_compare/atc_rnd_v08_p100_2atc_SimpleCNN2/test_acc_distance_3.json</x:t>
  </x:si>
  <x:si>
    <x:t xml:space="preserve">./workspace/model/train/asphalt/vp_compare/rec_sfm_p100_2atc_SimpleCNN2/train_acc_distance_3.json</x:t>
  </x:si>
  <x:si>
    <x:t xml:space="preserve">./workspace/model/train/asphalt/vp_compare/rec_sfm_p100_2atc_SimpleCNN2/train_acc_all.json</x:t>
  </x:si>
  <x:si>
    <x:t xml:space="preserve">./workspace/model/train/asphalt/vp_compare/rec_sfm_p100_2atc_SimpleCNN2/test_acc_all.json</x:t>
  </x:si>
  <x:si>
    <x:t xml:space="preserve">./workspace/model/train/asphalt/vp_compare/rec_sfm_p100_2atc_SimpleCNN2/test_acc_distance_3.json</x:t>
  </x:si>
  <x:si>
    <x:t xml:space="preserve">./workspace/model/train/asphalt/vp_compare/atc_rnd_v08_p250_2atc_SimpleCNN2/train_acc_distance_3.json</x:t>
  </x:si>
  <x:si>
    <x:t xml:space="preserve">./workspace/model/train/asphalt/vp_compare/atc_rnd_v08_p250_2atc_SimpleCNN2/train_acc_all.json</x:t>
  </x:si>
  <x:si>
    <x:t xml:space="preserve">./workspace/model/train/asphalt/vp_compare/atc_rnd_v08_p250_2atc_SimpleCNN2/test_acc_all.json</x:t>
  </x:si>
  <x:si>
    <x:t xml:space="preserve">./workspace/model/train/asphalt/vp_compare/atc_rnd_v08_p250_2atc_SimpleCNN2/test_acc_distance_3.json</x:t>
  </x:si>
  <x:si>
    <x:t xml:space="preserve">./workspace/model/train/asphalt/vp_compare/atc_sfm_v08_p100_2atc_SimpleCNN2/train_acc_distance_3.json</x:t>
  </x:si>
  <x:si>
    <x:t xml:space="preserve">./workspace/model/train/asphalt/vp_compare/atc_sfm_v08_p100_2atc_SimpleCNN2/train_acc_all.json</x:t>
  </x:si>
  <x:si>
    <x:t xml:space="preserve">./workspace/model/train/asphalt/vp_compare/atc_sfm_v08_p100_2atc_SimpleCNN2/test_acc_all.json</x:t>
  </x:si>
  <x:si>
    <x:t xml:space="preserve">./workspace/model/train/asphalt/vp_compare/atc_sfm_v08_p100_2atc_SimpleCNN2/test_acc_distance_3.json</x:t>
  </x:si>
  <x:si>
    <x:t xml:space="preserve">./workspace/model/train/asphalt/vp_compare/atc_sfm_p3000_2atc_SimpleCNN2/train_acc_distance_3.json</x:t>
  </x:si>
  <x:si>
    <x:t xml:space="preserve">./workspace/model/train/asphalt/vp_compare/atc_sfm_p3000_2atc_SimpleCNN2/train_acc_all.json</x:t>
  </x:si>
  <x:si>
    <x:t xml:space="preserve">./workspace/model/train/asphalt/vp_compare/atc_sfm_p3000_2atc_SimpleCNN2/test_acc_all.json</x:t>
  </x:si>
  <x:si>
    <x:t xml:space="preserve">./workspace/model/train/asphalt/vp_compare/atc_sfm_p3000_2atc_SimpleCNN2/test_acc_distance_3.json</x:t>
  </x:si>
  <x:si>
    <x:t xml:space="preserve">./workspace/model/train/asphalt/vp_compare/rec_sfm_p250_2atc_SimpleCNN2/train_acc_distance_3.json</x:t>
  </x:si>
  <x:si>
    <x:t xml:space="preserve">./workspace/model/train/asphalt/vp_compare/rec_sfm_p250_2atc_SimpleCNN2/train_acc_all.json</x:t>
  </x:si>
  <x:si>
    <x:t xml:space="preserve">./workspace/model/train/asphalt/vp_compare/rec_sfm_p250_2atc_SimpleCNN2/test_acc_all.json</x:t>
  </x:si>
  <x:si>
    <x:t xml:space="preserve">./workspace/model/train/asphalt/vp_compare/rec_sfm_p250_2atc_SimpleCNN2/test_acc_distance_3.json</x:t>
  </x:si>
  <x:si>
    <x:t xml:space="preserve">./workspace/model/train/asphalt/vp_compare/atc_sfm_v08_p500_2atc_SimpleCNN2/train_acc_distance_3.json</x:t>
  </x:si>
  <x:si>
    <x:t xml:space="preserve">./workspace/model/train/asphalt/vp_compare/atc_sfm_v08_p500_2atc_SimpleCNN2/train_acc_all.json</x:t>
  </x:si>
  <x:si>
    <x:t xml:space="preserve">./workspace/model/train/asphalt/vp_compare/atc_sfm_v08_p500_2atc_SimpleCNN2/test_acc_all.json</x:t>
  </x:si>
  <x:si>
    <x:t xml:space="preserve">./workspace/model/train/asphalt/vp_compare/atc_sfm_v08_p500_2atc_SimpleCNN2/test_acc_distance_3.json</x:t>
  </x:si>
  <x:si>
    <x:t xml:space="preserve">./workspace/model/train/asphalt/vp_compare/atc_sfm_p0500_2atc_SimpleCNN2/train_acc_distance_3.json</x:t>
  </x:si>
  <x:si>
    <x:t xml:space="preserve">p0500</x:t>
  </x:si>
  <x:si>
    <x:t xml:space="preserve">./workspace/model/train/asphalt/vp_compare/atc_sfm_p0500_2atc_SimpleCNN2/train_acc_all.json</x:t>
  </x:si>
  <x:si>
    <x:t xml:space="preserve">./workspace/model/train/asphalt/vp_compare/atc_sfm_p0500_2atc_SimpleCNN2/test_acc_all.json</x:t>
  </x:si>
  <x:si>
    <x:t xml:space="preserve">./workspace/model/train/asphalt/vp_compare/atc_sfm_p0500_2atc_SimpleCNN2/test_acc_distance_3.json</x:t>
  </x:si>
  <x:si>
    <x:t xml:space="preserve">./workspace/model/train/asphalt/vp_compare/atc_sfm_v08_p1500_2atc_SimpleCNN2/train_acc_distance_3.json</x:t>
  </x:si>
  <x:si>
    <x:t xml:space="preserve">./workspace/model/train/asphalt/vp_compare/atc_sfm_v08_p1500_2atc_SimpleCNN2/train_acc_all.json</x:t>
  </x:si>
  <x:si>
    <x:t xml:space="preserve">./workspace/model/train/asphalt/vp_compare/atc_sfm_v08_p1500_2atc_SimpleCNN2/test_acc_all.json</x:t>
  </x:si>
  <x:si>
    <x:t xml:space="preserve">./workspace/model/train/asphalt/vp_compare/atc_sfm_v08_p1500_2atc_SimpleCNN2/test_acc_distance_3.json</x:t>
  </x:si>
  <x:si>
    <x:t xml:space="preserve">./workspace/model/train/asphalt/vp_compare/atc_rnd_v08_p500_2atc_SimpleCNN2/train_acc_distance_3.json</x:t>
  </x:si>
  <x:si>
    <x:t xml:space="preserve">./workspace/model/train/asphalt/vp_compare/atc_rnd_v08_p500_2atc_SimpleCNN2/train_acc_all.json</x:t>
  </x:si>
  <x:si>
    <x:t xml:space="preserve">./workspace/model/train/asphalt/vp_compare/atc_rnd_v08_p500_2atc_SimpleCNN2/test_acc_all.json</x:t>
  </x:si>
  <x:si>
    <x:t xml:space="preserve">./workspace/model/train/asphalt/vp_compare/atc_rnd_v08_p500_2atc_SimpleCNN2/test_acc_distance_3.json</x:t>
  </x:si>
  <x:si>
    <x:t xml:space="preserve">./workspace/model/train/asphalt/vp_compare/rec_sfm_v18_p1500_2atc_SimpleCNN2/train_acc_distance_3.json</x:t>
  </x:si>
  <x:si>
    <x:t xml:space="preserve">./workspace/model/train/asphalt/vp_compare/rec_sfm_v18_p1500_2atc_SimpleCNN2/train_acc_all.json</x:t>
  </x:si>
  <x:si>
    <x:t xml:space="preserve">./workspace/model/train/asphalt/vp_compare/rec_sfm_v18_p1500_2atc_SimpleCNN2/test_acc_all.json</x:t>
  </x:si>
  <x:si>
    <x:t xml:space="preserve">./workspace/model/train/asphalt/vp_compare/rec_sfm_v18_p1500_2atc_SimpleCNN2/test_acc_distance_3.json</x:t>
  </x:si>
  <x:si>
    <x:t xml:space="preserve">./workspace/model/train/asphalt/vp_compare/rec_sfm_p500_2atc_SimpleCNN2/train_acc_distance_3.json</x:t>
  </x:si>
  <x:si>
    <x:t xml:space="preserve">./workspace/model/train/asphalt/vp_compare/rec_sfm_p500_2atc_SimpleCNN2/train_acc_all.json</x:t>
  </x:si>
  <x:si>
    <x:t xml:space="preserve">./workspace/model/train/asphalt/vp_compare/rec_sfm_p500_2atc_SimpleCNN2/test_acc_all.json</x:t>
  </x:si>
  <x:si>
    <x:t xml:space="preserve">./workspace/model/train/asphalt/vp_compare/rec_sfm_p500_2atc_SimpleCNN2/test_acc_distance_3.json</x:t>
  </x:si>
  <x:si>
    <x:t xml:space="preserve">./workspace/model/train/asphalt/vp_compare/rec_rnd_v08_p100_2atc_SimpleCNN2/train_acc_distance_3.json</x:t>
  </x:si>
  <x:si>
    <x:t xml:space="preserve">./workspace/model/train/asphalt/vp_compare/rec_rnd_v08_p100_2atc_SimpleCNN2/train_acc_all.json</x:t>
  </x:si>
  <x:si>
    <x:t xml:space="preserve">./workspace/model/train/asphalt/vp_compare/rec_rnd_v08_p100_2atc_SimpleCNN2/test_acc_all.json</x:t>
  </x:si>
  <x:si>
    <x:t xml:space="preserve">./workspace/model/train/asphalt/vp_compare/rec_rnd_v08_p100_2atc_SimpleCNN2/test_acc_distance_3.json</x:t>
  </x:si>
  <x:si>
    <x:t xml:space="preserve">./workspace/model/train/asphalt/vp_compare/rec_sfm_v08_p250_2atc_SimpleCNN2/train_acc_distance_3.json</x:t>
  </x:si>
  <x:si>
    <x:t xml:space="preserve">./workspace/model/train/asphalt/vp_compare/rec_sfm_v08_p250_2atc_SimpleCNN2/train_acc_all.json</x:t>
  </x:si>
  <x:si>
    <x:t xml:space="preserve">./workspace/model/train/asphalt/vp_compare/rec_sfm_v08_p250_2atc_SimpleCNN2/test_acc_all.json</x:t>
  </x:si>
  <x:si>
    <x:t xml:space="preserve">./workspace/model/train/asphalt/vp_compare/rec_sfm_v08_p250_2atc_SimpleCNN2/test_acc_distance_3.json</x:t>
  </x:si>
  <x:si>
    <x:t xml:space="preserve">./workspace/model/train/asphalt/vp_compare/rec_sfm_v08_p1500_2atc_SimpleCNN2/train_acc_distance_3.json</x:t>
  </x:si>
  <x:si>
    <x:t xml:space="preserve">./workspace/model/train/asphalt/vp_compare/rec_sfm_v08_p1500_2atc_SimpleCNN2/train_acc_all.json</x:t>
  </x:si>
  <x:si>
    <x:t xml:space="preserve">./workspace/model/train/asphalt/vp_compare/rec_sfm_v08_p1500_2atc_SimpleCNN2/test_acc_all.json</x:t>
  </x:si>
  <x:si>
    <x:t xml:space="preserve">./workspace/model/train/asphalt/vp_compare/rec_sfm_v08_p1500_2atc_SimpleCNN2/test_acc_distance_3.json</x:t>
  </x:si>
  <x:si>
    <x:t xml:space="preserve">./workspace/model/train/asphalt/vp_compare/atc_rnd_p250_2atc_SimpleCNN2/train_acc_distance_3.json</x:t>
  </x:si>
  <x:si>
    <x:t xml:space="preserve">./workspace/model/train/asphalt/vp_compare/atc_rnd_p250_2atc_SimpleCNN2/train_acc_all.json</x:t>
  </x:si>
  <x:si>
    <x:t xml:space="preserve">./workspace/model/train/asphalt/vp_compare/atc_rnd_p250_2atc_SimpleCNN2/test_acc_all.json</x:t>
  </x:si>
  <x:si>
    <x:t xml:space="preserve">./workspace/model/train/asphalt/vp_compare/atc_rnd_p250_2atc_SimpleCNN2/test_acc_distance_3.json</x:t>
  </x:si>
  <x:si>
    <x:t xml:space="preserve">./workspace/model/train/asphalt/vp_compare/atc_sfm_v18_p1500_2atc_SimpleCNN2/train_acc_distance_3.json</x:t>
  </x:si>
  <x:si>
    <x:t xml:space="preserve">./workspace/model/train/asphalt/vp_compare/atc_sfm_v18_p1500_2atc_SimpleCNN2/train_acc_all.json</x:t>
  </x:si>
  <x:si>
    <x:t xml:space="preserve">./workspace/model/train/asphalt/vp_compare/atc_sfm_v18_p1500_2atc_SimpleCNN2/test_acc_all.json</x:t>
  </x:si>
  <x:si>
    <x:t xml:space="preserve">./workspace/model/train/asphalt/vp_compare/atc_sfm_v18_p1500_2atc_SimpleCNN2/test_acc_distance_3.json</x:t>
  </x:si>
  <x:si>
    <x:t xml:space="preserve">./workspace/model/train/asphalt/vp_compare/rec_sfm_v08_p100_2atc_SimpleCNN2/train_acc_distance_3.json</x:t>
  </x:si>
  <x:si>
    <x:t xml:space="preserve">./workspace/model/train/asphalt/vp_compare/rec_sfm_v08_p100_2atc_SimpleCNN2/train_acc_all.json</x:t>
  </x:si>
  <x:si>
    <x:t xml:space="preserve">./workspace/model/train/asphalt/vp_compare/rec_sfm_v08_p100_2atc_SimpleCNN2/test_acc_all.json</x:t>
  </x:si>
  <x:si>
    <x:t xml:space="preserve">./workspace/model/train/asphalt/vp_compare/rec_sfm_v08_p100_2atc_SimpleCNN2/test_acc_distance_3.json</x:t>
  </x:si>
  <x:si>
    <x:t xml:space="preserve">./workspace/model/train/asphalt/vp_compare/rec_rnd_v08_p250_2atc_SimpleCNN2/train_acc_distance_3.json</x:t>
  </x:si>
  <x:si>
    <x:t xml:space="preserve">./workspace/model/train/asphalt/vp_compare/rec_rnd_v08_p250_2atc_SimpleCNN2/train_acc_all.json</x:t>
  </x:si>
  <x:si>
    <x:t xml:space="preserve">./workspace/model/train/asphalt/vp_compare/rec_rnd_v08_p250_2atc_SimpleCNN2/test_acc_all.json</x:t>
  </x:si>
  <x:si>
    <x:t xml:space="preserve">./workspace/model/train/asphalt/vp_compare/rec_rnd_v08_p250_2atc_SimpleCNN2/test_acc_distance_3.json</x:t>
  </x:si>
  <x:si>
    <x:t xml:space="preserve">./workspace/model/train/asphalt/vp_compare/atc_rnd_p100_2atc_SimpleCNN2/train_acc_distance_3.json</x:t>
  </x:si>
  <x:si>
    <x:t xml:space="preserve">./workspace/model/train/asphalt/vp_compare/atc_rnd_p100_2atc_SimpleCNN2/train_acc_all.json</x:t>
  </x:si>
  <x:si>
    <x:t xml:space="preserve">./workspace/model/train/asphalt/vp_compare/atc_rnd_p100_2atc_SimpleCNN2/test_acc_all.json</x:t>
  </x:si>
  <x:si>
    <x:t xml:space="preserve">./workspace/model/train/asphalt/vp_compare/atc_rnd_p100_2atc_SimpleCNN2/test_acc_distance_3.json</x:t>
  </x:si>
  <x:si>
    <x:t xml:space="preserve">./workspace/model/train/asphalt/vp_compare/rec_sfm_v08_p500_2atc_SimpleCNN2/train_acc_distance_3.json</x:t>
  </x:si>
  <x:si>
    <x:t xml:space="preserve">./workspace/model/train/asphalt/vp_compare/rec_sfm_v08_p500_2atc_SimpleCNN2/train_acc_all.json</x:t>
  </x:si>
  <x:si>
    <x:t xml:space="preserve">./workspace/model/train/asphalt/vp_compare/rec_sfm_v08_p500_2atc_SimpleCNN2/test_acc_all.json</x:t>
  </x:si>
  <x:si>
    <x:t xml:space="preserve">./workspace/model/train/asphalt/vp_compare/rec_sfm_v08_p500_2atc_SimpleCNN2/test_acc_distance_3.json</x:t>
  </x:si>
  <x:si>
    <x:t xml:space="preserve">./workspace/model/train/asphalt/vp_compare/atc_rnd_p500_2atc_SimpleCNN2/train_acc_distance_3.json</x:t>
  </x:si>
  <x:si>
    <x:t xml:space="preserve">./workspace/model/train/asphalt/vp_compare/atc_rnd_p500_2atc_SimpleCNN2/train_acc_all.json</x:t>
  </x:si>
  <x:si>
    <x:t xml:space="preserve">./workspace/model/train/asphalt/vp_compare/atc_rnd_p500_2atc_SimpleCNN2/test_acc_all.json</x:t>
  </x:si>
  <x:si>
    <x:t xml:space="preserve">./workspace/model/train/asphalt/vp_compare/atc_rnd_p500_2atc_SimpleCNN2/test_acc_distance_3.json</x:t>
  </x:si>
  <x:si>
    <x:t xml:space="preserve">v13</x:t>
  </x:si>
</x:sst>
</file>

<file path=xl/styles.xml><?xml version="1.0" encoding="utf-8"?>
<x:styleSheet xmlns:x="http://schemas.openxmlformats.org/spreadsheetml/2006/main">
  <x:numFmts count="4">
    <x:numFmt numFmtId="200" formatCode="0.00"/>
    <x:numFmt numFmtId="201" formatCode="0"/>
    <x:numFmt numFmtId="202" formatCode="0.000"/>
    <x:numFmt numFmtId="203" formatCode="0.000E+00"/>
  </x:numFmts>
  <x:fonts count="24">
    <x:font>
      <x:sz val="12"/>
      <x:color theme="1"/>
      <x:name val="游ゴシック"/>
    </x:font>
    <x:font>
      <x:sz val="12"/>
      <x:color theme="1"/>
      <x:name val="游ゴシック"/>
    </x:font>
    <x:font>
      <x:sz val="18"/>
      <x:color theme="3"/>
      <x:name val="游ゴシック Light"/>
    </x:font>
    <x:font>
      <x:b/>
      <x:sz val="15"/>
      <x:color theme="3"/>
      <x:name val="游ゴシック"/>
    </x:font>
    <x:font>
      <x:b/>
      <x:sz val="13"/>
      <x:color theme="3"/>
      <x:name val="游ゴシック"/>
    </x:font>
    <x:font>
      <x:b/>
      <x:sz val="11"/>
      <x:color theme="3"/>
      <x:name val="游ゴシック"/>
    </x:font>
    <x:font>
      <x:sz val="12"/>
      <x:color rgb="FF006100"/>
      <x:name val="游ゴシック"/>
    </x:font>
    <x:font>
      <x:sz val="12"/>
      <x:color rgb="FF9C0006"/>
      <x:name val="游ゴシック"/>
    </x:font>
    <x:font>
      <x:sz val="12"/>
      <x:color rgb="FF9C5700"/>
      <x:name val="游ゴシック"/>
    </x:font>
    <x:font>
      <x:sz val="12"/>
      <x:color rgb="FF3F3F76"/>
      <x:name val="游ゴシック"/>
    </x:font>
    <x:font>
      <x:b/>
      <x:sz val="12"/>
      <x:color rgb="FF3F3F3F"/>
      <x:name val="游ゴシック"/>
    </x:font>
    <x:font>
      <x:b/>
      <x:sz val="12"/>
      <x:color rgb="FFFA7D00"/>
      <x:name val="游ゴシック"/>
    </x:font>
    <x:font>
      <x:sz val="12"/>
      <x:color rgb="FFFA7D00"/>
      <x:name val="游ゴシック"/>
    </x:font>
    <x:font>
      <x:b/>
      <x:sz val="12"/>
      <x:color theme="0"/>
      <x:name val="游ゴシック"/>
    </x:font>
    <x:font>
      <x:sz val="12"/>
      <x:color rgb="FFFF0000"/>
      <x:name val="游ゴシック"/>
    </x:font>
    <x:font>
      <x:i/>
      <x:sz val="12"/>
      <x:color rgb="FF7F7F7F"/>
      <x:name val="游ゴシック"/>
    </x:font>
    <x:font>
      <x:b/>
      <x:sz val="12"/>
      <x:color theme="1"/>
      <x:name val="游ゴシック"/>
    </x:font>
    <x:font>
      <x:sz val="12"/>
      <x:color theme="0"/>
      <x:name val="游ゴシック"/>
    </x:font>
    <x:font>
      <x:sz val="6"/>
      <x:name val="游ゴシック"/>
    </x:font>
    <x:font>
      <x:b/>
      <x:sz val="12"/>
      <x:color rgb="FFFFFFFF"/>
      <x:name val="游ゴシック"/>
    </x:font>
    <x:font>
      <x:sz val="12"/>
      <x:color rgb="FF334155"/>
      <x:name val="游ゴシック"/>
    </x:font>
    <x:font>
      <x:b/>
      <x:sz val="12"/>
      <x:color rgb="FF475569"/>
      <x:name val="游ゴシック"/>
    </x:font>
    <x:font>
      <x:b/>
      <x:sz val="12"/>
      <x:color rgb="FF7C4A03"/>
      <x:name val="游ゴシック"/>
    </x:font>
    <x:font>
      <x:sz val="12"/>
      <x:color rgb="FF7C2D12"/>
      <x:name val="游ゴシック"/>
    </x:font>
  </x:fonts>
  <x:fills count="40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F8FAFC"/>
      </x:patternFill>
    </x:fill>
    <x:fill>
      <x:patternFill patternType="solid">
        <x:fgColor rgb="FFFFF2CC"/>
      </x:patternFill>
    </x:fill>
    <x:fill>
      <x:patternFill patternType="solid">
        <x:fgColor rgb="FF2F6B8A"/>
      </x:patternFill>
    </x:fill>
    <x:fill>
      <x:patternFill patternType="solid">
        <x:fgColor rgb="FFB45309"/>
      </x:patternFill>
    </x:fill>
    <x:fill>
      <x:patternFill patternType="solid">
        <x:fgColor rgb="FFFFF7ED"/>
      </x:patternFill>
    </x:fill>
  </x:fills>
  <x:borders count="19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top style="thin">
        <x:color rgb="FF7F7F7F"/>
      </x:top>
      <x:bottom style="thin">
        <x:color rgb="FF7F7F7F"/>
      </x:bottom>
    </x:border>
    <x:border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top style="double">
        <x:color rgb="FF3F3F3F"/>
      </x:top>
      <x:bottom style="double">
        <x:color rgb="FF3F3F3F"/>
      </x:bottom>
    </x:border>
    <x:border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D9E2EA"/>
      </x:top>
      <x:bottom style="thin">
        <x:color rgb="FFAAB8C5"/>
      </x:bottom>
    </x:border>
  </x:borders>
  <x:cellStyleXfs count="42">
    <x:xf numFmtId="0" fontId="0" fillId="0" borderId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1" applyNumberFormat="0" applyFill="0" applyAlignment="0" applyProtection="0">
      <x:alignment vertical="center"/>
    </x:xf>
    <x:xf numFmtId="0" fontId="4" fillId="0" borderId="2" applyNumberFormat="0" applyFill="0" applyAlignment="0" applyProtection="0">
      <x:alignment vertical="center"/>
    </x:xf>
    <x:xf numFmtId="0" fontId="5" fillId="0" borderId="3" applyNumberFormat="0" applyFill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2" borderId="0" applyNumberFormat="0" applyBorder="0" applyAlignment="0" applyProtection="0">
      <x:alignment vertical="center"/>
    </x:xf>
    <x:xf numFmtId="0" fontId="7" fillId="3" borderId="0" applyNumberFormat="0" applyBorder="0" applyAlignment="0" applyProtection="0">
      <x:alignment vertical="center"/>
    </x:xf>
    <x:xf numFmtId="0" fontId="8" fillId="4" borderId="0" applyNumberFormat="0" applyBorder="0" applyAlignment="0" applyProtection="0">
      <x:alignment vertical="center"/>
    </x:xf>
    <x:xf numFmtId="0" fontId="9" fillId="5" borderId="4" applyNumberFormat="0" applyAlignment="0" applyProtection="0">
      <x:alignment vertical="center"/>
    </x:xf>
    <x:xf numFmtId="0" fontId="10" fillId="6" borderId="5" applyNumberFormat="0" applyAlignment="0" applyProtection="0">
      <x:alignment vertical="center"/>
    </x:xf>
    <x:xf numFmtId="0" fontId="11" fillId="6" borderId="4" applyNumberFormat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7" borderId="7" applyNumberForma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" fillId="8" borderId="8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" fillId="10" borderId="0" applyNumberFormat="0" applyBorder="0" applyAlignment="0" applyProtection="0">
      <x:alignment vertical="center"/>
    </x:xf>
    <x:xf numFmtId="0" fontId="1" fillId="11" borderId="0" applyNumberFormat="0" applyBorder="0" applyAlignment="0" applyProtection="0">
      <x:alignment vertical="center"/>
    </x:xf>
    <x:xf numFmtId="0" fontId="1" fillId="12" borderId="0" applyNumberFormat="0" applyBorder="0" applyAlignment="0" applyProtection="0">
      <x:alignment vertical="center"/>
    </x:xf>
    <x:xf numFmtId="0" fontId="17" fillId="13" borderId="0" applyNumberFormat="0" applyBorder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1" fillId="15" borderId="0" applyNumberFormat="0" applyBorder="0" applyAlignment="0" applyProtection="0">
      <x:alignment vertical="center"/>
    </x:xf>
    <x:xf numFmtId="0" fontId="1" fillId="16" borderId="0" applyNumberFormat="0" applyBorder="0" applyAlignment="0" applyProtection="0">
      <x:alignment vertical="center"/>
    </x:xf>
    <x:xf numFmtId="0" fontId="17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7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1" fillId="24" borderId="0" applyNumberFormat="0" applyBorder="0" applyAlignment="0" applyProtection="0">
      <x:alignment vertical="center"/>
    </x:xf>
    <x:xf numFmtId="0" fontId="17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1" fillId="28" borderId="0" applyNumberFormat="0" applyBorder="0" applyAlignment="0" applyProtection="0">
      <x:alignment vertical="center"/>
    </x:xf>
    <x:xf numFmtId="0" fontId="17" fillId="29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</x:cellStyleXfs>
  <x:cellXfs count="43">
    <x:xf numFmtId="0" fontId="0" fillId="0" borderId="0" xfId="0">
      <x:alignment vertical="center"/>
    </x:xf>
    <x:xf numFmtId="11" fontId="0" fillId="0" borderId="0" xfId="0" applyNumberFormat="1">
      <x:alignment vertical="center"/>
    </x:xf>
    <x:xf numFmtId="0" fontId="0" fillId="33" borderId="0" xfId="0" applyNumberFormat="1" applyFont="1" applyFill="1" applyBorder="1" applyAlignment="1">
      <x:alignment vertical="center"/>
    </x:xf>
    <x:xf numFmtId="0" fontId="19" fillId="33" borderId="0" xfId="0" applyNumberFormat="1" applyFont="1" applyFill="1" applyBorder="1" applyAlignment="1">
      <x:alignment vertical="center"/>
    </x:xf>
    <x:xf numFmtId="0" fontId="19" fillId="33" borderId="0" xfId="0" applyNumberFormat="1" applyFont="1" applyFill="1" applyBorder="1" applyAlignment="1">
      <x:alignment horizontal="left" vertical="center"/>
    </x:xf>
    <x:xf numFmtId="0" fontId="0" fillId="34" borderId="0" xfId="0" applyNumberFormat="1" applyFont="1" applyFill="1" applyBorder="1" applyAlignment="1">
      <x:alignment vertical="center"/>
    </x:xf>
    <x:xf numFmtId="0" fontId="20" fillId="34" borderId="0" xfId="0" applyNumberFormat="1" applyFont="1" applyFill="1" applyBorder="1" applyAlignment="1">
      <x:alignment vertical="center"/>
    </x:xf>
    <x:xf numFmtId="0" fontId="20" fillId="34" borderId="0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 applyAlignment="1">
      <x:alignment vertical="center"/>
    </x:xf>
    <x:xf numFmtId="0" fontId="0" fillId="35" borderId="10" xfId="0" applyNumberFormat="1" applyFont="1" applyFill="1" applyBorder="1" applyAlignment="1">
      <x:alignment vertical="center"/>
    </x:xf>
    <x:xf numFmtId="0" fontId="0" fillId="35" borderId="11" xfId="0" applyNumberFormat="1" applyFont="1" applyFill="1" applyBorder="1" applyAlignment="1">
      <x:alignment vertical="center"/>
    </x:xf>
    <x:xf numFmtId="0" fontId="0" fillId="35" borderId="12" xfId="0" applyNumberFormat="1" applyFont="1" applyFill="1" applyBorder="1" applyAlignment="1">
      <x:alignment vertical="center"/>
    </x:xf>
    <x:xf numFmtId="0" fontId="0" fillId="35" borderId="13" xfId="0" applyNumberFormat="1" applyFont="1" applyFill="1" applyBorder="1" applyAlignment="1">
      <x:alignment vertical="center"/>
    </x:xf>
    <x:xf numFmtId="0" fontId="0" fillId="35" borderId="14" xfId="0" applyNumberFormat="1" applyFont="1" applyFill="1" applyBorder="1" applyAlignment="1">
      <x:alignment vertical="center"/>
    </x:xf>
    <x:xf numFmtId="0" fontId="0" fillId="35" borderId="15" xfId="0" applyNumberFormat="1" applyFont="1" applyFill="1" applyBorder="1" applyAlignment="1">
      <x:alignment vertical="center"/>
    </x:xf>
    <x:xf numFmtId="0" fontId="21" fillId="35" borderId="10" xfId="0" applyNumberFormat="1" applyFont="1" applyFill="1" applyBorder="1" applyAlignment="1">
      <x:alignment vertical="center"/>
    </x:xf>
    <x:xf numFmtId="0" fontId="21" fillId="35" borderId="13" xfId="0" applyNumberFormat="1" applyFont="1" applyFill="1" applyBorder="1" applyAlignment="1">
      <x:alignment vertical="center"/>
    </x:xf>
    <x:xf numFmtId="0" fontId="21" fillId="35" borderId="11" xfId="0" applyNumberFormat="1" applyFont="1" applyFill="1" applyBorder="1" applyAlignment="1">
      <x:alignment vertical="center"/>
    </x:xf>
    <x:xf numFmtId="0" fontId="21" fillId="35" borderId="14" xfId="0" applyNumberFormat="1" applyFont="1" applyFill="1" applyBorder="1" applyAlignment="1">
      <x:alignment vertical="center"/>
    </x:xf>
    <x:xf numFmtId="0" fontId="0" fillId="36" borderId="11" xfId="0" applyNumberFormat="1" applyFont="1" applyFill="1" applyBorder="1" applyAlignment="1">
      <x:alignment vertical="center"/>
    </x:xf>
    <x:xf numFmtId="0" fontId="22" fillId="36" borderId="11" xfId="0" applyNumberFormat="1" applyFont="1" applyFill="1" applyBorder="1" applyAlignment="1">
      <x:alignment vertical="center"/>
    </x:xf>
    <x:xf numFmtId="200" fontId="22" fillId="36" borderId="11" xfId="0" applyNumberFormat="1" applyFont="1" applyFill="1" applyBorder="1" applyAlignment="1">
      <x:alignment vertical="center"/>
    </x:xf>
    <x:xf numFmtId="201" fontId="0" fillId="35" borderId="14" xfId="0" applyNumberFormat="1" applyFont="1" applyFill="1" applyBorder="1" applyAlignment="1">
      <x:alignment vertical="center"/>
    </x:xf>
    <x:xf numFmtId="201" fontId="21" fillId="35" borderId="14" xfId="0" applyNumberFormat="1" applyFont="1" applyFill="1" applyBorder="1" applyAlignment="1">
      <x:alignment vertical="center"/>
    </x:xf>
    <x:xf numFmtId="201" fontId="0" fillId="35" borderId="15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 applyAlignment="1">
      <x:alignment vertical="center"/>
    </x:xf>
    <x:xf numFmtId="0" fontId="19" fillId="37" borderId="0" xfId="0" applyNumberFormat="1" applyFont="1" applyFill="1" applyBorder="1" applyAlignment="1">
      <x:alignment vertical="center"/>
    </x:xf>
    <x:xf numFmtId="0" fontId="19" fillId="37" borderId="0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202" fontId="0" fillId="0" borderId="16" xfId="0" applyNumberFormat="1" applyFont="1" applyFill="1" applyBorder="1" applyAlignment="1">
      <x:alignment vertical="center"/>
    </x:xf>
    <x:xf numFmtId="202" fontId="0" fillId="0" borderId="17" xfId="0" applyNumberFormat="1" applyFont="1" applyFill="1" applyBorder="1" applyAlignment="1">
      <x:alignment vertical="center"/>
    </x:xf>
    <x:xf numFmtId="202" fontId="0" fillId="0" borderId="18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38" borderId="0" xfId="0" applyNumberFormat="1" applyFont="1" applyFill="1" applyBorder="1" applyAlignment="1">
      <x:alignment vertical="center"/>
    </x:xf>
    <x:xf numFmtId="0" fontId="19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 applyAlignment="1">
      <x:alignment vertical="center"/>
    </x:xf>
    <x:xf numFmtId="0" fontId="23" fillId="39" borderId="0" xfId="0" applyNumberFormat="1" applyFont="1" applyFill="1" applyBorder="1" applyAlignment="1">
      <x:alignment vertical="center"/>
    </x:xf>
    <x:xf numFmtId="203" fontId="23" fillId="39" borderId="0" xfId="0" applyNumberFormat="1" applyFont="1" applyFill="1" applyBorder="1" applyAlignment="1">
      <x:alignment vertical="center"/>
    </x:xf>
    <x:xf numFmtId="0" fontId="23" fillId="39" borderId="0" xfId="0" applyNumberFormat="1" applyFont="1" applyFill="1" applyBorder="1" applyAlignment="1">
      <x:alignment vertical="center" wrapText="1"/>
    </x:xf>
  </x:cellXfs>
  <x:cellStyles count="42">
    <x:cellStyle name="20% - アクセント 1" xfId="19"/>
    <x:cellStyle name="20% - アクセント 2" xfId="23"/>
    <x:cellStyle name="20% - アクセント 3" xfId="27"/>
    <x:cellStyle name="20% - アクセント 4" xfId="31"/>
    <x:cellStyle name="20% - アクセント 5" xfId="35"/>
    <x:cellStyle name="20% - アクセント 6" xfId="39"/>
    <x:cellStyle name="40% - アクセント 1" xfId="20"/>
    <x:cellStyle name="40% - アクセント 2" xfId="24"/>
    <x:cellStyle name="40% - アクセント 3" xfId="28"/>
    <x:cellStyle name="40% - アクセント 4" xfId="32"/>
    <x:cellStyle name="40% - アクセント 5" xfId="36"/>
    <x:cellStyle name="40% - アクセント 6" xfId="40"/>
    <x:cellStyle name="60% - アクセント 1" xfId="21"/>
    <x:cellStyle name="60% - アクセント 2" xfId="25"/>
    <x:cellStyle name="60% - アクセント 3" xfId="29"/>
    <x:cellStyle name="60% - アクセント 4" xfId="33"/>
    <x:cellStyle name="60% - アクセント 5" xfId="37"/>
    <x:cellStyle name="60% - アクセント 6" xfId="41"/>
    <x:cellStyle name="アクセント 1" xfId="18"/>
    <x:cellStyle name="アクセント 2" xfId="22"/>
    <x:cellStyle name="アクセント 3" xfId="26"/>
    <x:cellStyle name="アクセント 4" xfId="30"/>
    <x:cellStyle name="アクセント 5" xfId="34"/>
    <x:cellStyle name="アクセント 6" xfId="38"/>
    <x:cellStyle name="タイトル" xfId="1"/>
    <x:cellStyle name="チェック セル" xfId="13"/>
    <x:cellStyle name="どちらでもない" xfId="8"/>
    <x:cellStyle name="メモ" xfId="15"/>
    <x:cellStyle name="リンク セル" xfId="12"/>
    <x:cellStyle name="悪い" xfId="7"/>
    <x:cellStyle name="計算" xfId="11"/>
    <x:cellStyle name="警告文" xfId="14"/>
    <x:cellStyle name="見出し 1" xfId="2"/>
    <x:cellStyle name="見出し 2" xfId="3"/>
    <x:cellStyle name="見出し 3" xfId="4"/>
    <x:cellStyle name="見出し 4" xfId="5"/>
    <x:cellStyle name="集計" xfId="17"/>
    <x:cellStyle name="出力" xfId="10"/>
    <x:cellStyle name="説明文" xfId="16"/>
    <x:cellStyle name="入力" xfId="9"/>
    <x:cellStyle name="標準" xfId="0"/>
    <x:cellStyle name="良い" xfId="6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cacb759aac4d8d" /><Relationship Type="http://schemas.openxmlformats.org/officeDocument/2006/relationships/theme" Target="/xl/theme/theme1.xml" Id="Rc140f25eb7234661" /><Relationship Type="http://schemas.openxmlformats.org/officeDocument/2006/relationships/sharedStrings" Target="/xl/sharedStrings.xml" Id="R27b8408995b94ead" /><Relationship Type="http://schemas.openxmlformats.org/officeDocument/2006/relationships/worksheet" Target="/xl/worksheets/sheet1.xml" Id="Re5c2ddad25dc48c0" /><Relationship Type="http://schemas.openxmlformats.org/officeDocument/2006/relationships/worksheet" Target="/xl/worksheets/sheet2.xml" Id="R4ff8edef27b249f6" /><Relationship Type="http://schemas.openxmlformats.org/officeDocument/2006/relationships/worksheet" Target="/xl/worksheets/sheet3.xml" Id="Re075006703f242e1" /><Relationship Type="http://schemas.openxmlformats.org/officeDocument/2006/relationships/worksheet" Target="/xl/worksheets/sheet4.xml" Id="R9ddf6446355b45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298b5613ab43b2" /><Relationship Type="http://schemas.openxmlformats.org/officeDocument/2006/relationships/chart" Target="/xl/drawings/charts/chart2.xml" Id="Rbcdbb37aa78147f2" /><Relationship Type="http://schemas.openxmlformats.org/officeDocument/2006/relationships/chart" Target="/xl/drawings/charts/chart3.xml" Id="Re9145dc48b8b4d6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Corr 平均（place × algorithm）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Corr 平均</c:v>
          </c:tx>
          <c:spPr>
            <a:solidFill xmlns:a="http://schemas.openxmlformats.org/drawingml/2006/main">
              <a:srgbClr val="2F80ED"/>
            </a:solidFill>
          </c:spPr>
          <c:cat>
            <c:strRef>
              <c:f>'Corr_MAE_Charts'!$T$41:$T$44</c:f>
              <c:strCache>
                <c:ptCount val="0"/>
              </c:strCache>
            </c:strRef>
          </c:cat>
          <c:val>
            <c:numRef>
              <c:f>'Corr_MAE_Charts'!$U$41:$U$44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MAE 平均（閾値内）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MAE 平均</c:v>
          </c:tx>
          <c:spPr>
            <a:solidFill xmlns:a="http://schemas.openxmlformats.org/drawingml/2006/main">
              <a:srgbClr val="E67E22"/>
            </a:solidFill>
          </c:spPr>
          <c:cat>
            <c:strRef>
              <c:f>'Corr_MAE_Charts'!$T$41:$T$44</c:f>
              <c:strCache>
                <c:ptCount val="0"/>
              </c:strCache>
            </c:strRef>
          </c:cat>
          <c:val>
            <c:numRef>
              <c:f>'Corr_MAE_Charts'!$V$41:$V$44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Corr と MAE の関係（閾値内）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scatterChart>
        <c:scatterStyle val="marker"/>
        <c:ser>
          <c:idx val="0"/>
          <c:order val="0"/>
          <c:tx>
            <c:v>atc-sfm</c:v>
          </c:tx>
          <c:spPr>
            <a:solidFill xmlns:a="http://schemas.openxmlformats.org/drawingml/2006/main">
              <a:srgbClr val="2563EB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'Corr_MAE_Charts'!$L$41:$L$109</c:f>
              <c:numCache>
                <c:formatCode>0.00</c:formatCode>
                <c:ptCount val="0"/>
              </c:numCache>
            </c:numRef>
          </c:yVal>
        </c:ser>
        <c:ser>
          <c:idx val="1"/>
          <c:order val="1"/>
          <c:tx>
            <c:v>atc-rnd</c:v>
          </c:tx>
          <c:spPr>
            <a:solidFill xmlns:a="http://schemas.openxmlformats.org/drawingml/2006/main">
              <a:srgbClr val="F59E0B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'Corr_MAE_Charts'!$N$41:$N$109</c:f>
              <c:numCache>
                <c:formatCode>0.00</c:formatCode>
                <c:ptCount val="0"/>
              </c:numCache>
            </c:numRef>
          </c:yVal>
        </c:ser>
        <c:ser>
          <c:idx val="2"/>
          <c:order val="2"/>
          <c:tx>
            <c:v>rec-sfm</c:v>
          </c:tx>
          <c:spPr>
            <a:solidFill xmlns:a="http://schemas.openxmlformats.org/drawingml/2006/main">
              <a:srgbClr val="16A34A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'Corr_MAE_Charts'!$P$41:$P$109</c:f>
              <c:numCache>
                <c:formatCode>0.00</c:formatCode>
                <c:ptCount val="0"/>
              </c:numCache>
            </c:numRef>
          </c:yVal>
        </c:ser>
        <c:ser>
          <c:idx val="3"/>
          <c:order val="3"/>
          <c:tx>
            <c:v>rec-rnd</c:v>
          </c:tx>
          <c:spPr>
            <a:solidFill xmlns:a="http://schemas.openxmlformats.org/drawingml/2006/main">
              <a:srgbClr val="DC2626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'Corr_MAE_Charts'!$R$41:$R$109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MAE</a:t>
                </a:r>
              </a:p>
            </c:rich>
          </c:tx>
        </c:title>
        <c:numFmt formatCode="0.00"/>
        <c:majorTickMark val="none"/>
        <c:minorTickMark val="none"/>
        <c:crossAx val="48650112"/>
      </c:valAx>
      <c:valAx>
        <c:axId val="48650112"/>
        <c:scaling>
          <c:orientation val="minMax"/>
          <c:max val="1"/>
          <c:min val="-0.1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Corr</a:t>
                </a:r>
              </a:p>
            </c:rich>
          </c:tx>
        </c:title>
        <c:numFmt formatCode="0.0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298b5613ab43b2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dbb37aa78147f2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23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145dc48b8b4d6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b71f7655a280474f" /></Relationships>
</file>

<file path=xl/worksheets/sheet1.xml><?xml version="1.0" encoding="utf-8"?>
<x:worksheet xmlns:x="http://schemas.openxmlformats.org/spreadsheetml/2006/main">
  <x:sheetFormatPr baseColWidth="10" defaultRowHeight="20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</x:row>
    <x:row r="2">
      <x:c r="A2" t="s">
        <x:v>9</x:v>
      </x:c>
      <x:c r="B2">
        <x:v>0.97327610512172402</x:v>
      </x:c>
      <x:c r="C2" t="s">
        <x:v>10</x:v>
      </x:c>
      <x:c r="D2" t="s">
        <x:v>11</x:v>
      </x:c>
      <x:c r="E2" t="s">
        <x:v>12</x:v>
      </x:c>
      <x:c r="F2" t="s">
        <x:v>13</x:v>
      </x:c>
      <x:c r="G2" t="s">
        <x:v>14</x:v>
      </x:c>
      <x:c r="H2" t="s">
        <x:v>15</x:v>
      </x:c>
      <x:c r="I2" t="s">
        <x:v>16</x:v>
      </x:c>
    </x:row>
    <x:row r="3">
      <x:c r="A3" t="s">
        <x:v>17</x:v>
      </x:c>
      <x:c r="B3">
        <x:v>1.1842371895909301E-2</x:v>
      </x:c>
      <x:c r="C3" t="s">
        <x:v>10</x:v>
      </x:c>
      <x:c r="D3" t="s">
        <x:v>11</x:v>
      </x:c>
      <x:c r="E3" t="s">
        <x:v>12</x:v>
      </x:c>
      <x:c r="F3" t="s">
        <x:v>13</x:v>
      </x:c>
      <x:c r="G3" t="s">
        <x:v>14</x:v>
      </x:c>
      <x:c r="H3" t="s">
        <x:v>15</x:v>
      </x:c>
      <x:c r="I3" t="s">
        <x:v>16</x:v>
      </x:c>
    </x:row>
    <x:row r="4">
      <x:c r="A4" t="s">
        <x:v>18</x:v>
      </x:c>
      <x:c r="B4">
        <x:v>1.6226691659539899E-3</x:v>
      </x:c>
      <x:c r="C4" t="s">
        <x:v>10</x:v>
      </x:c>
      <x:c r="D4" t="s">
        <x:v>11</x:v>
      </x:c>
      <x:c r="E4" t="s">
        <x:v>12</x:v>
      </x:c>
      <x:c r="F4" t="s">
        <x:v>13</x:v>
      </x:c>
      <x:c r="G4" t="s">
        <x:v>14</x:v>
      </x:c>
      <x:c r="H4" t="s">
        <x:v>15</x:v>
      </x:c>
      <x:c r="I4" t="s">
        <x:v>16</x:v>
      </x:c>
    </x:row>
    <x:row r="5">
      <x:c r="A5" t="s">
        <x:v>19</x:v>
      </x:c>
      <x:c r="B5">
        <x:v>4.0282367928834398E-2</x:v>
      </x:c>
      <x:c r="C5" t="s">
        <x:v>10</x:v>
      </x:c>
      <x:c r="D5" t="s">
        <x:v>11</x:v>
      </x:c>
      <x:c r="E5" t="s">
        <x:v>12</x:v>
      </x:c>
      <x:c r="F5" t="s">
        <x:v>13</x:v>
      </x:c>
      <x:c r="G5" t="s">
        <x:v>14</x:v>
      </x:c>
      <x:c r="H5" t="s">
        <x:v>15</x:v>
      </x:c>
      <x:c r="I5" t="s">
        <x:v>16</x:v>
      </x:c>
    </x:row>
    <x:row r="6">
      <x:c r="A6" t="s">
        <x:v>20</x:v>
      </x:c>
      <x:c r="B6">
        <x:v>8879441182720</x:v>
      </x:c>
      <x:c r="C6" t="s">
        <x:v>10</x:v>
      </x:c>
      <x:c r="D6" t="s">
        <x:v>11</x:v>
      </x:c>
      <x:c r="E6" t="s">
        <x:v>12</x:v>
      </x:c>
      <x:c r="F6" t="s">
        <x:v>13</x:v>
      </x:c>
      <x:c r="G6" t="s">
        <x:v>14</x:v>
      </x:c>
      <x:c r="H6" t="s">
        <x:v>15</x:v>
      </x:c>
      <x:c r="I6" t="s">
        <x:v>16</x:v>
      </x:c>
    </x:row>
    <x:row r="7">
      <x:c r="A7" t="s">
        <x:v>9</x:v>
      </x:c>
      <x:c r="B7">
        <x:v>0.97327610512172402</x:v>
      </x:c>
      <x:c r="C7" t="s">
        <x:v>10</x:v>
      </x:c>
      <x:c r="D7" t="s">
        <x:v>21</x:v>
      </x:c>
      <x:c r="E7" t="s">
        <x:v>22</x:v>
      </x:c>
      <x:c r="F7" t="s">
        <x:v>13</x:v>
      </x:c>
      <x:c r="G7" t="s">
        <x:v>14</x:v>
      </x:c>
      <x:c r="H7" t="s">
        <x:v>15</x:v>
      </x:c>
      <x:c r="I7" t="s">
        <x:v>16</x:v>
      </x:c>
    </x:row>
    <x:row r="8">
      <x:c r="A8" t="s">
        <x:v>17</x:v>
      </x:c>
      <x:c r="B8">
        <x:v>1.1842371895909301E-2</x:v>
      </x:c>
      <x:c r="C8" t="s">
        <x:v>10</x:v>
      </x:c>
      <x:c r="D8" t="s">
        <x:v>21</x:v>
      </x:c>
      <x:c r="E8" t="s">
        <x:v>22</x:v>
      </x:c>
      <x:c r="F8" t="s">
        <x:v>13</x:v>
      </x:c>
      <x:c r="G8" t="s">
        <x:v>14</x:v>
      </x:c>
      <x:c r="H8" t="s">
        <x:v>15</x:v>
      </x:c>
      <x:c r="I8" t="s">
        <x:v>16</x:v>
      </x:c>
    </x:row>
    <x:row r="9">
      <x:c r="A9" t="s">
        <x:v>18</x:v>
      </x:c>
      <x:c r="B9">
        <x:v>1.6226691659539899E-3</x:v>
      </x:c>
      <x:c r="C9" t="s">
        <x:v>10</x:v>
      </x:c>
      <x:c r="D9" t="s">
        <x:v>21</x:v>
      </x:c>
      <x:c r="E9" t="s">
        <x:v>22</x:v>
      </x:c>
      <x:c r="F9" t="s">
        <x:v>13</x:v>
      </x:c>
      <x:c r="G9" t="s">
        <x:v>14</x:v>
      </x:c>
      <x:c r="H9" t="s">
        <x:v>15</x:v>
      </x:c>
      <x:c r="I9" t="s">
        <x:v>16</x:v>
      </x:c>
    </x:row>
    <x:row r="10">
      <x:c r="A10" t="s">
        <x:v>19</x:v>
      </x:c>
      <x:c r="B10">
        <x:v>4.0282367928834398E-2</x:v>
      </x:c>
      <x:c r="C10" t="s">
        <x:v>10</x:v>
      </x:c>
      <x:c r="D10" t="s">
        <x:v>21</x:v>
      </x:c>
      <x:c r="E10" t="s">
        <x:v>22</x:v>
      </x:c>
      <x:c r="F10" t="s">
        <x:v>13</x:v>
      </x:c>
      <x:c r="G10" t="s">
        <x:v>14</x:v>
      </x:c>
      <x:c r="H10" t="s">
        <x:v>15</x:v>
      </x:c>
      <x:c r="I10" t="s">
        <x:v>16</x:v>
      </x:c>
    </x:row>
    <x:row r="11">
      <x:c r="A11" t="s">
        <x:v>20</x:v>
      </x:c>
      <x:c r="B11">
        <x:v>8879441182720</x:v>
      </x:c>
      <x:c r="C11" t="s">
        <x:v>10</x:v>
      </x:c>
      <x:c r="D11" t="s">
        <x:v>21</x:v>
      </x:c>
      <x:c r="E11" t="s">
        <x:v>22</x:v>
      </x:c>
      <x:c r="F11" t="s">
        <x:v>13</x:v>
      </x:c>
      <x:c r="G11" t="s">
        <x:v>14</x:v>
      </x:c>
      <x:c r="H11" t="s">
        <x:v>15</x:v>
      </x:c>
      <x:c r="I11" t="s">
        <x:v>16</x:v>
      </x:c>
    </x:row>
    <x:row r="12">
      <x:c r="A12" t="s">
        <x:v>9</x:v>
      </x:c>
      <x:c r="B12">
        <x:v>0.65499276003277296</x:v>
      </x:c>
      <x:c r="C12" t="s">
        <x:v>23</x:v>
      </x:c>
      <x:c r="D12" t="s">
        <x:v>21</x:v>
      </x:c>
      <x:c r="E12" t="s">
        <x:v>24</x:v>
      </x:c>
      <x:c r="F12" t="s">
        <x:v>13</x:v>
      </x:c>
      <x:c r="G12" t="s">
        <x:v>14</x:v>
      </x:c>
      <x:c r="H12" t="s">
        <x:v>15</x:v>
      </x:c>
      <x:c r="I12" t="s">
        <x:v>16</x:v>
      </x:c>
    </x:row>
    <x:row r="13">
      <x:c r="A13" t="s">
        <x:v>17</x:v>
      </x:c>
      <x:c r="B13">
        <x:v>0.39041605591773898</x:v>
      </x:c>
      <x:c r="C13" t="s">
        <x:v>23</x:v>
      </x:c>
      <x:c r="D13" t="s">
        <x:v>21</x:v>
      </x:c>
      <x:c r="E13" t="s">
        <x:v>24</x:v>
      </x:c>
      <x:c r="F13" t="s">
        <x:v>13</x:v>
      </x:c>
      <x:c r="G13" t="s">
        <x:v>14</x:v>
      </x:c>
      <x:c r="H13" t="s">
        <x:v>15</x:v>
      </x:c>
      <x:c r="I13" t="s">
        <x:v>16</x:v>
      </x:c>
    </x:row>
    <x:row r="14">
      <x:c r="A14" t="s">
        <x:v>18</x:v>
      </x:c>
      <x:c r="B14">
        <x:v>0.46491834521293601</x:v>
      </x:c>
      <x:c r="C14" t="s">
        <x:v>23</x:v>
      </x:c>
      <x:c r="D14" t="s">
        <x:v>21</x:v>
      </x:c>
      <x:c r="E14" t="s">
        <x:v>24</x:v>
      </x:c>
      <x:c r="F14" t="s">
        <x:v>13</x:v>
      </x:c>
      <x:c r="G14" t="s">
        <x:v>14</x:v>
      </x:c>
      <x:c r="H14" t="s">
        <x:v>15</x:v>
      </x:c>
      <x:c r="I14" t="s">
        <x:v>16</x:v>
      </x:c>
    </x:row>
    <x:row r="15">
      <x:c r="A15" t="s">
        <x:v>19</x:v>
      </x:c>
      <x:c r="B15">
        <x:v>0.68184921002589405</x:v>
      </x:c>
      <x:c r="C15" t="s">
        <x:v>23</x:v>
      </x:c>
      <x:c r="D15" t="s">
        <x:v>21</x:v>
      </x:c>
      <x:c r="E15" t="s">
        <x:v>24</x:v>
      </x:c>
      <x:c r="F15" t="s">
        <x:v>13</x:v>
      </x:c>
      <x:c r="G15" t="s">
        <x:v>14</x:v>
      </x:c>
      <x:c r="H15" t="s">
        <x:v>15</x:v>
      </x:c>
      <x:c r="I15" t="s">
        <x:v>16</x:v>
      </x:c>
    </x:row>
    <x:row r="16">
      <x:c r="A16" t="s">
        <x:v>20</x:v>
      </x:c>
      <x:c r="B16">
        <x:v>342042873954304</x:v>
      </x:c>
      <x:c r="C16" t="s">
        <x:v>23</x:v>
      </x:c>
      <x:c r="D16" t="s">
        <x:v>21</x:v>
      </x:c>
      <x:c r="E16" t="s">
        <x:v>24</x:v>
      </x:c>
      <x:c r="F16" t="s">
        <x:v>13</x:v>
      </x:c>
      <x:c r="G16" t="s">
        <x:v>14</x:v>
      </x:c>
      <x:c r="H16" t="s">
        <x:v>15</x:v>
      </x:c>
      <x:c r="I16" t="s">
        <x:v>16</x:v>
      </x:c>
    </x:row>
    <x:row r="17">
      <x:c r="A17" t="s">
        <x:v>9</x:v>
      </x:c>
      <x:c r="B17">
        <x:v>0.65499276003277296</x:v>
      </x:c>
      <x:c r="C17" t="s">
        <x:v>23</x:v>
      </x:c>
      <x:c r="D17" t="s">
        <x:v>11</x:v>
      </x:c>
      <x:c r="E17" t="s">
        <x:v>25</x:v>
      </x:c>
      <x:c r="F17" t="s">
        <x:v>13</x:v>
      </x:c>
      <x:c r="G17" t="s">
        <x:v>14</x:v>
      </x:c>
      <x:c r="H17" t="s">
        <x:v>15</x:v>
      </x:c>
      <x:c r="I17" t="s">
        <x:v>16</x:v>
      </x:c>
    </x:row>
    <x:row r="18">
      <x:c r="A18" t="s">
        <x:v>17</x:v>
      </x:c>
      <x:c r="B18">
        <x:v>0.39041605591773898</x:v>
      </x:c>
      <x:c r="C18" t="s">
        <x:v>23</x:v>
      </x:c>
      <x:c r="D18" t="s">
        <x:v>11</x:v>
      </x:c>
      <x:c r="E18" t="s">
        <x:v>25</x:v>
      </x:c>
      <x:c r="F18" t="s">
        <x:v>13</x:v>
      </x:c>
      <x:c r="G18" t="s">
        <x:v>14</x:v>
      </x:c>
      <x:c r="H18" t="s">
        <x:v>15</x:v>
      </x:c>
      <x:c r="I18" t="s">
        <x:v>16</x:v>
      </x:c>
    </x:row>
    <x:row r="19">
      <x:c r="A19" t="s">
        <x:v>18</x:v>
      </x:c>
      <x:c r="B19">
        <x:v>0.46491834521293601</x:v>
      </x:c>
      <x:c r="C19" t="s">
        <x:v>23</x:v>
      </x:c>
      <x:c r="D19" t="s">
        <x:v>11</x:v>
      </x:c>
      <x:c r="E19" t="s">
        <x:v>25</x:v>
      </x:c>
      <x:c r="F19" t="s">
        <x:v>13</x:v>
      </x:c>
      <x:c r="G19" t="s">
        <x:v>14</x:v>
      </x:c>
      <x:c r="H19" t="s">
        <x:v>15</x:v>
      </x:c>
      <x:c r="I19" t="s">
        <x:v>16</x:v>
      </x:c>
    </x:row>
    <x:row r="20">
      <x:c r="A20" t="s">
        <x:v>19</x:v>
      </x:c>
      <x:c r="B20">
        <x:v>0.68184921002589405</x:v>
      </x:c>
      <x:c r="C20" t="s">
        <x:v>23</x:v>
      </x:c>
      <x:c r="D20" t="s">
        <x:v>11</x:v>
      </x:c>
      <x:c r="E20" t="s">
        <x:v>25</x:v>
      </x:c>
      <x:c r="F20" t="s">
        <x:v>13</x:v>
      </x:c>
      <x:c r="G20" t="s">
        <x:v>14</x:v>
      </x:c>
      <x:c r="H20" t="s">
        <x:v>15</x:v>
      </x:c>
      <x:c r="I20" t="s">
        <x:v>16</x:v>
      </x:c>
    </x:row>
    <x:row r="21">
      <x:c r="A21" t="s">
        <x:v>20</x:v>
      </x:c>
      <x:c r="B21">
        <x:v>342042873954304</x:v>
      </x:c>
      <x:c r="C21" t="s">
        <x:v>23</x:v>
      </x:c>
      <x:c r="D21" t="s">
        <x:v>11</x:v>
      </x:c>
      <x:c r="E21" t="s">
        <x:v>25</x:v>
      </x:c>
      <x:c r="F21" t="s">
        <x:v>13</x:v>
      </x:c>
      <x:c r="G21" t="s">
        <x:v>14</x:v>
      </x:c>
      <x:c r="H21" t="s">
        <x:v>15</x:v>
      </x:c>
      <x:c r="I21" t="s">
        <x:v>16</x:v>
      </x:c>
    </x:row>
    <x:row r="22">
      <x:c r="A22" t="s">
        <x:v>9</x:v>
      </x:c>
      <x:c r="B22">
        <x:v>0.947588074146681</x:v>
      </x:c>
      <x:c r="C22" t="s">
        <x:v>10</x:v>
      </x:c>
      <x:c r="D22" t="s">
        <x:v>11</x:v>
      </x:c>
      <x:c r="E22" t="s">
        <x:v>26</x:v>
      </x:c>
      <x:c r="F22" t="s">
        <x:v>13</x:v>
      </x:c>
      <x:c r="G22" t="s">
        <x:v>27</x:v>
      </x:c>
      <x:c r="I22" t="s">
        <x:v>28</x:v>
      </x:c>
    </x:row>
    <x:row r="23">
      <x:c r="A23" t="s">
        <x:v>17</x:v>
      </x:c>
      <x:c r="B23">
        <x:v>0.89116716384887695</x:v>
      </x:c>
      <x:c r="C23" t="s">
        <x:v>10</x:v>
      </x:c>
      <x:c r="D23" t="s">
        <x:v>11</x:v>
      </x:c>
      <x:c r="E23" t="s">
        <x:v>26</x:v>
      </x:c>
      <x:c r="F23" t="s">
        <x:v>13</x:v>
      </x:c>
      <x:c r="G23" t="s">
        <x:v>27</x:v>
      </x:c>
      <x:c r="I23" t="s">
        <x:v>28</x:v>
      </x:c>
    </x:row>
    <x:row r="24">
      <x:c r="A24" t="s">
        <x:v>18</x:v>
      </x:c>
      <x:c r="B24">
        <x:v>1.42351293563842</x:v>
      </x:c>
      <x:c r="C24" t="s">
        <x:v>10</x:v>
      </x:c>
      <x:c r="D24" t="s">
        <x:v>11</x:v>
      </x:c>
      <x:c r="E24" t="s">
        <x:v>26</x:v>
      </x:c>
      <x:c r="F24" t="s">
        <x:v>13</x:v>
      </x:c>
      <x:c r="G24" t="s">
        <x:v>27</x:v>
      </x:c>
      <x:c r="I24" t="s">
        <x:v>28</x:v>
      </x:c>
    </x:row>
    <x:row r="25">
      <x:c r="A25" t="s">
        <x:v>19</x:v>
      </x:c>
      <x:c r="B25">
        <x:v>1.1931106133290501</x:v>
      </x:c>
      <x:c r="C25" t="s">
        <x:v>10</x:v>
      </x:c>
      <x:c r="D25" t="s">
        <x:v>11</x:v>
      </x:c>
      <x:c r="E25" t="s">
        <x:v>26</x:v>
      </x:c>
      <x:c r="F25" t="s">
        <x:v>13</x:v>
      </x:c>
      <x:c r="G25" t="s">
        <x:v>27</x:v>
      </x:c>
      <x:c r="I25" t="s">
        <x:v>28</x:v>
      </x:c>
    </x:row>
    <x:row r="26">
      <x:c r="A26" t="s">
        <x:v>20</x:v>
      </x:c>
      <x:c r="B26">
        <x:v>8827016577024</x:v>
      </x:c>
      <x:c r="C26" t="s">
        <x:v>10</x:v>
      </x:c>
      <x:c r="D26" t="s">
        <x:v>11</x:v>
      </x:c>
      <x:c r="E26" t="s">
        <x:v>26</x:v>
      </x:c>
      <x:c r="F26" t="s">
        <x:v>13</x:v>
      </x:c>
      <x:c r="G26" t="s">
        <x:v>27</x:v>
      </x:c>
      <x:c r="I26" t="s">
        <x:v>28</x:v>
      </x:c>
    </x:row>
    <x:row r="27">
      <x:c r="A27" t="s">
        <x:v>9</x:v>
      </x:c>
      <x:c r="B27">
        <x:v>0.947588074146681</x:v>
      </x:c>
      <x:c r="C27" t="s">
        <x:v>10</x:v>
      </x:c>
      <x:c r="D27" t="s">
        <x:v>21</x:v>
      </x:c>
      <x:c r="E27" t="s">
        <x:v>29</x:v>
      </x:c>
      <x:c r="F27" t="s">
        <x:v>13</x:v>
      </x:c>
      <x:c r="G27" t="s">
        <x:v>27</x:v>
      </x:c>
      <x:c r="I27" t="s">
        <x:v>28</x:v>
      </x:c>
    </x:row>
    <x:row r="28">
      <x:c r="A28" t="s">
        <x:v>17</x:v>
      </x:c>
      <x:c r="B28">
        <x:v>0.89116716384887695</x:v>
      </x:c>
      <x:c r="C28" t="s">
        <x:v>10</x:v>
      </x:c>
      <x:c r="D28" t="s">
        <x:v>21</x:v>
      </x:c>
      <x:c r="E28" t="s">
        <x:v>29</x:v>
      </x:c>
      <x:c r="F28" t="s">
        <x:v>13</x:v>
      </x:c>
      <x:c r="G28" t="s">
        <x:v>27</x:v>
      </x:c>
      <x:c r="I28" t="s">
        <x:v>28</x:v>
      </x:c>
    </x:row>
    <x:row r="29">
      <x:c r="A29" t="s">
        <x:v>18</x:v>
      </x:c>
      <x:c r="B29">
        <x:v>1.42351293563842</x:v>
      </x:c>
      <x:c r="C29" t="s">
        <x:v>10</x:v>
      </x:c>
      <x:c r="D29" t="s">
        <x:v>21</x:v>
      </x:c>
      <x:c r="E29" t="s">
        <x:v>29</x:v>
      </x:c>
      <x:c r="F29" t="s">
        <x:v>13</x:v>
      </x:c>
      <x:c r="G29" t="s">
        <x:v>27</x:v>
      </x:c>
      <x:c r="I29" t="s">
        <x:v>28</x:v>
      </x:c>
    </x:row>
    <x:row r="30">
      <x:c r="A30" t="s">
        <x:v>19</x:v>
      </x:c>
      <x:c r="B30">
        <x:v>1.1931106133290501</x:v>
      </x:c>
      <x:c r="C30" t="s">
        <x:v>10</x:v>
      </x:c>
      <x:c r="D30" t="s">
        <x:v>21</x:v>
      </x:c>
      <x:c r="E30" t="s">
        <x:v>29</x:v>
      </x:c>
      <x:c r="F30" t="s">
        <x:v>13</x:v>
      </x:c>
      <x:c r="G30" t="s">
        <x:v>27</x:v>
      </x:c>
      <x:c r="I30" t="s">
        <x:v>28</x:v>
      </x:c>
    </x:row>
    <x:row r="31">
      <x:c r="A31" t="s">
        <x:v>20</x:v>
      </x:c>
      <x:c r="B31">
        <x:v>8827016577024</x:v>
      </x:c>
      <x:c r="C31" t="s">
        <x:v>10</x:v>
      </x:c>
      <x:c r="D31" t="s">
        <x:v>21</x:v>
      </x:c>
      <x:c r="E31" t="s">
        <x:v>29</x:v>
      </x:c>
      <x:c r="F31" t="s">
        <x:v>13</x:v>
      </x:c>
      <x:c r="G31" t="s">
        <x:v>27</x:v>
      </x:c>
      <x:c r="I31" t="s">
        <x:v>28</x:v>
      </x:c>
    </x:row>
    <x:row r="32">
      <x:c r="A32" t="s">
        <x:v>9</x:v>
      </x:c>
      <x:c r="B32">
        <x:v>0.91270897465922995</x:v>
      </x:c>
      <x:c r="C32" t="s">
        <x:v>23</x:v>
      </x:c>
      <x:c r="D32" t="s">
        <x:v>21</x:v>
      </x:c>
      <x:c r="E32" t="s">
        <x:v>30</x:v>
      </x:c>
      <x:c r="F32" t="s">
        <x:v>13</x:v>
      </x:c>
      <x:c r="G32" t="s">
        <x:v>27</x:v>
      </x:c>
      <x:c r="I32" t="s">
        <x:v>28</x:v>
      </x:c>
    </x:row>
    <x:row r="33">
      <x:c r="A33" t="s">
        <x:v>17</x:v>
      </x:c>
      <x:c r="B33">
        <x:v>0.25669199228286699</x:v>
      </x:c>
      <x:c r="C33" t="s">
        <x:v>23</x:v>
      </x:c>
      <x:c r="D33" t="s">
        <x:v>21</x:v>
      </x:c>
      <x:c r="E33" t="s">
        <x:v>30</x:v>
      </x:c>
      <x:c r="F33" t="s">
        <x:v>13</x:v>
      </x:c>
      <x:c r="G33" t="s">
        <x:v>27</x:v>
      </x:c>
      <x:c r="I33" t="s">
        <x:v>28</x:v>
      </x:c>
    </x:row>
    <x:row r="34">
      <x:c r="A34" t="s">
        <x:v>18</x:v>
      </x:c>
      <x:c r="B34">
        <x:v>0.195234090089797</x:v>
      </x:c>
      <x:c r="C34" t="s">
        <x:v>23</x:v>
      </x:c>
      <x:c r="D34" t="s">
        <x:v>21</x:v>
      </x:c>
      <x:c r="E34" t="s">
        <x:v>30</x:v>
      </x:c>
      <x:c r="F34" t="s">
        <x:v>13</x:v>
      </x:c>
      <x:c r="G34" t="s">
        <x:v>27</x:v>
      </x:c>
      <x:c r="I34" t="s">
        <x:v>28</x:v>
      </x:c>
    </x:row>
    <x:row r="35">
      <x:c r="A35" t="s">
        <x:v>19</x:v>
      </x:c>
      <x:c r="B35">
        <x:v>0.441853018649638</x:v>
      </x:c>
      <x:c r="C35" t="s">
        <x:v>23</x:v>
      </x:c>
      <x:c r="D35" t="s">
        <x:v>21</x:v>
      </x:c>
      <x:c r="E35" t="s">
        <x:v>30</x:v>
      </x:c>
      <x:c r="F35" t="s">
        <x:v>13</x:v>
      </x:c>
      <x:c r="G35" t="s">
        <x:v>27</x:v>
      </x:c>
      <x:c r="I35" t="s">
        <x:v>28</x:v>
      </x:c>
    </x:row>
    <x:row r="36">
      <x:c r="A36" t="s">
        <x:v>20</x:v>
      </x:c>
      <x:c r="B36">
        <x:v>67204296998912</x:v>
      </x:c>
      <x:c r="C36" t="s">
        <x:v>23</x:v>
      </x:c>
      <x:c r="D36" t="s">
        <x:v>21</x:v>
      </x:c>
      <x:c r="E36" t="s">
        <x:v>30</x:v>
      </x:c>
      <x:c r="F36" t="s">
        <x:v>13</x:v>
      </x:c>
      <x:c r="G36" t="s">
        <x:v>27</x:v>
      </x:c>
      <x:c r="I36" t="s">
        <x:v>28</x:v>
      </x:c>
    </x:row>
    <x:row r="37">
      <x:c r="A37" t="s">
        <x:v>9</x:v>
      </x:c>
      <x:c r="B37">
        <x:v>0.91270897465922995</x:v>
      </x:c>
      <x:c r="C37" t="s">
        <x:v>23</x:v>
      </x:c>
      <x:c r="D37" t="s">
        <x:v>11</x:v>
      </x:c>
      <x:c r="E37" t="s">
        <x:v>31</x:v>
      </x:c>
      <x:c r="F37" t="s">
        <x:v>13</x:v>
      </x:c>
      <x:c r="G37" t="s">
        <x:v>27</x:v>
      </x:c>
      <x:c r="I37" t="s">
        <x:v>28</x:v>
      </x:c>
    </x:row>
    <x:row r="38">
      <x:c r="A38" t="s">
        <x:v>17</x:v>
      </x:c>
      <x:c r="B38">
        <x:v>0.25669199228286699</x:v>
      </x:c>
      <x:c r="C38" t="s">
        <x:v>23</x:v>
      </x:c>
      <x:c r="D38" t="s">
        <x:v>11</x:v>
      </x:c>
      <x:c r="E38" t="s">
        <x:v>31</x:v>
      </x:c>
      <x:c r="F38" t="s">
        <x:v>13</x:v>
      </x:c>
      <x:c r="G38" t="s">
        <x:v>27</x:v>
      </x:c>
      <x:c r="I38" t="s">
        <x:v>28</x:v>
      </x:c>
    </x:row>
    <x:row r="39">
      <x:c r="A39" t="s">
        <x:v>18</x:v>
      </x:c>
      <x:c r="B39">
        <x:v>0.195234090089797</x:v>
      </x:c>
      <x:c r="C39" t="s">
        <x:v>23</x:v>
      </x:c>
      <x:c r="D39" t="s">
        <x:v>11</x:v>
      </x:c>
      <x:c r="E39" t="s">
        <x:v>31</x:v>
      </x:c>
      <x:c r="F39" t="s">
        <x:v>13</x:v>
      </x:c>
      <x:c r="G39" t="s">
        <x:v>27</x:v>
      </x:c>
      <x:c r="I39" t="s">
        <x:v>28</x:v>
      </x:c>
    </x:row>
    <x:row r="40">
      <x:c r="A40" t="s">
        <x:v>19</x:v>
      </x:c>
      <x:c r="B40">
        <x:v>0.441853018649638</x:v>
      </x:c>
      <x:c r="C40" t="s">
        <x:v>23</x:v>
      </x:c>
      <x:c r="D40" t="s">
        <x:v>11</x:v>
      </x:c>
      <x:c r="E40" t="s">
        <x:v>31</x:v>
      </x:c>
      <x:c r="F40" t="s">
        <x:v>13</x:v>
      </x:c>
      <x:c r="G40" t="s">
        <x:v>27</x:v>
      </x:c>
      <x:c r="I40" t="s">
        <x:v>28</x:v>
      </x:c>
    </x:row>
    <x:row r="41">
      <x:c r="A41" t="s">
        <x:v>20</x:v>
      </x:c>
      <x:c r="B41">
        <x:v>67204296998912</x:v>
      </x:c>
      <x:c r="C41" t="s">
        <x:v>23</x:v>
      </x:c>
      <x:c r="D41" t="s">
        <x:v>11</x:v>
      </x:c>
      <x:c r="E41" t="s">
        <x:v>31</x:v>
      </x:c>
      <x:c r="F41" t="s">
        <x:v>13</x:v>
      </x:c>
      <x:c r="G41" t="s">
        <x:v>27</x:v>
      </x:c>
      <x:c r="I41" t="s">
        <x:v>28</x:v>
      </x:c>
    </x:row>
    <x:row r="42">
      <x:c r="A42" t="s">
        <x:v>9</x:v>
      </x:c>
      <x:c r="B42">
        <x:v>0.80899030847034503</x:v>
      </x:c>
      <x:c r="C42" t="s">
        <x:v>10</x:v>
      </x:c>
      <x:c r="D42" t="s">
        <x:v>11</x:v>
      </x:c>
      <x:c r="E42" t="s">
        <x:v>32</x:v>
      </x:c>
      <x:c r="F42" t="s">
        <x:v>33</x:v>
      </x:c>
      <x:c r="G42" t="s">
        <x:v>14</x:v>
      </x:c>
      <x:c r="H42" t="s">
        <x:v>34</x:v>
      </x:c>
      <x:c r="I42" t="s">
        <x:v>35</x:v>
      </x:c>
    </x:row>
    <x:row r="43">
      <x:c r="A43" t="s">
        <x:v>17</x:v>
      </x:c>
      <x:c r="B43">
        <x:v>0.67458653450012196</x:v>
      </x:c>
      <x:c r="C43" t="s">
        <x:v>10</x:v>
      </x:c>
      <x:c r="D43" t="s">
        <x:v>11</x:v>
      </x:c>
      <x:c r="E43" t="s">
        <x:v>32</x:v>
      </x:c>
      <x:c r="F43" t="s">
        <x:v>33</x:v>
      </x:c>
      <x:c r="G43" t="s">
        <x:v>14</x:v>
      </x:c>
      <x:c r="H43" t="s">
        <x:v>34</x:v>
      </x:c>
      <x:c r="I43" t="s">
        <x:v>35</x:v>
      </x:c>
    </x:row>
    <x:row r="44">
      <x:c r="A44" t="s">
        <x:v>18</x:v>
      </x:c>
      <x:c r="B44">
        <x:v>0.72691118717193604</x:v>
      </x:c>
      <x:c r="C44" t="s">
        <x:v>10</x:v>
      </x:c>
      <x:c r="D44" t="s">
        <x:v>11</x:v>
      </x:c>
      <x:c r="E44" t="s">
        <x:v>32</x:v>
      </x:c>
      <x:c r="F44" t="s">
        <x:v>33</x:v>
      </x:c>
      <x:c r="G44" t="s">
        <x:v>14</x:v>
      </x:c>
      <x:c r="H44" t="s">
        <x:v>34</x:v>
      </x:c>
      <x:c r="I44" t="s">
        <x:v>35</x:v>
      </x:c>
    </x:row>
    <x:row r="45">
      <x:c r="A45" t="s">
        <x:v>19</x:v>
      </x:c>
      <x:c r="B45">
        <x:v>0.85259086739885703</x:v>
      </x:c>
      <x:c r="C45" t="s">
        <x:v>10</x:v>
      </x:c>
      <x:c r="D45" t="s">
        <x:v>11</x:v>
      </x:c>
      <x:c r="E45" t="s">
        <x:v>32</x:v>
      </x:c>
      <x:c r="F45" t="s">
        <x:v>33</x:v>
      </x:c>
      <x:c r="G45" t="s">
        <x:v>14</x:v>
      </x:c>
      <x:c r="H45" t="s">
        <x:v>34</x:v>
      </x:c>
      <x:c r="I45" t="s">
        <x:v>35</x:v>
      </x:c>
    </x:row>
    <x:row r="46">
      <x:c r="A46" t="s">
        <x:v>20</x:v>
      </x:c>
      <x:c r="B46">
        <x:v>737720467456</x:v>
      </x:c>
      <x:c r="C46" t="s">
        <x:v>10</x:v>
      </x:c>
      <x:c r="D46" t="s">
        <x:v>11</x:v>
      </x:c>
      <x:c r="E46" t="s">
        <x:v>32</x:v>
      </x:c>
      <x:c r="F46" t="s">
        <x:v>33</x:v>
      </x:c>
      <x:c r="G46" t="s">
        <x:v>14</x:v>
      </x:c>
      <x:c r="H46" t="s">
        <x:v>34</x:v>
      </x:c>
      <x:c r="I46" t="s">
        <x:v>35</x:v>
      </x:c>
    </x:row>
    <x:row r="47">
      <x:c r="A47" t="s">
        <x:v>9</x:v>
      </x:c>
      <x:c r="B47">
        <x:v>0.80899030847034503</x:v>
      </x:c>
      <x:c r="C47" t="s">
        <x:v>10</x:v>
      </x:c>
      <x:c r="D47" t="s">
        <x:v>21</x:v>
      </x:c>
      <x:c r="E47" t="s">
        <x:v>36</x:v>
      </x:c>
      <x:c r="F47" t="s">
        <x:v>33</x:v>
      </x:c>
      <x:c r="G47" t="s">
        <x:v>14</x:v>
      </x:c>
      <x:c r="H47" t="s">
        <x:v>34</x:v>
      </x:c>
      <x:c r="I47" t="s">
        <x:v>35</x:v>
      </x:c>
    </x:row>
    <x:row r="48">
      <x:c r="A48" t="s">
        <x:v>17</x:v>
      </x:c>
      <x:c r="B48">
        <x:v>0.67458653450012196</x:v>
      </x:c>
      <x:c r="C48" t="s">
        <x:v>10</x:v>
      </x:c>
      <x:c r="D48" t="s">
        <x:v>21</x:v>
      </x:c>
      <x:c r="E48" t="s">
        <x:v>36</x:v>
      </x:c>
      <x:c r="F48" t="s">
        <x:v>33</x:v>
      </x:c>
      <x:c r="G48" t="s">
        <x:v>14</x:v>
      </x:c>
      <x:c r="H48" t="s">
        <x:v>34</x:v>
      </x:c>
      <x:c r="I48" t="s">
        <x:v>35</x:v>
      </x:c>
    </x:row>
    <x:row r="49">
      <x:c r="A49" t="s">
        <x:v>18</x:v>
      </x:c>
      <x:c r="B49">
        <x:v>0.72691118717193604</x:v>
      </x:c>
      <x:c r="C49" t="s">
        <x:v>10</x:v>
      </x:c>
      <x:c r="D49" t="s">
        <x:v>21</x:v>
      </x:c>
      <x:c r="E49" t="s">
        <x:v>36</x:v>
      </x:c>
      <x:c r="F49" t="s">
        <x:v>33</x:v>
      </x:c>
      <x:c r="G49" t="s">
        <x:v>14</x:v>
      </x:c>
      <x:c r="H49" t="s">
        <x:v>34</x:v>
      </x:c>
      <x:c r="I49" t="s">
        <x:v>35</x:v>
      </x:c>
    </x:row>
    <x:row r="50">
      <x:c r="A50" t="s">
        <x:v>19</x:v>
      </x:c>
      <x:c r="B50">
        <x:v>0.85259086739885703</x:v>
      </x:c>
      <x:c r="C50" t="s">
        <x:v>10</x:v>
      </x:c>
      <x:c r="D50" t="s">
        <x:v>21</x:v>
      </x:c>
      <x:c r="E50" t="s">
        <x:v>36</x:v>
      </x:c>
      <x:c r="F50" t="s">
        <x:v>33</x:v>
      </x:c>
      <x:c r="G50" t="s">
        <x:v>14</x:v>
      </x:c>
      <x:c r="H50" t="s">
        <x:v>34</x:v>
      </x:c>
      <x:c r="I50" t="s">
        <x:v>35</x:v>
      </x:c>
    </x:row>
    <x:row r="51">
      <x:c r="A51" t="s">
        <x:v>20</x:v>
      </x:c>
      <x:c r="B51">
        <x:v>737720467456</x:v>
      </x:c>
      <x:c r="C51" t="s">
        <x:v>10</x:v>
      </x:c>
      <x:c r="D51" t="s">
        <x:v>21</x:v>
      </x:c>
      <x:c r="E51" t="s">
        <x:v>36</x:v>
      </x:c>
      <x:c r="F51" t="s">
        <x:v>33</x:v>
      </x:c>
      <x:c r="G51" t="s">
        <x:v>14</x:v>
      </x:c>
      <x:c r="H51" t="s">
        <x:v>34</x:v>
      </x:c>
      <x:c r="I51" t="s">
        <x:v>35</x:v>
      </x:c>
    </x:row>
    <x:row r="52">
      <x:c r="A52" t="s">
        <x:v>9</x:v>
      </x:c>
      <x:c r="B52">
        <x:v>0.61943542516289896</x:v>
      </x:c>
      <x:c r="C52" t="s">
        <x:v>23</x:v>
      </x:c>
      <x:c r="D52" t="s">
        <x:v>21</x:v>
      </x:c>
      <x:c r="E52" t="s">
        <x:v>37</x:v>
      </x:c>
      <x:c r="F52" t="s">
        <x:v>33</x:v>
      </x:c>
      <x:c r="G52" t="s">
        <x:v>14</x:v>
      </x:c>
      <x:c r="H52" t="s">
        <x:v>34</x:v>
      </x:c>
      <x:c r="I52" t="s">
        <x:v>35</x:v>
      </x:c>
    </x:row>
    <x:row r="53">
      <x:c r="A53" t="s">
        <x:v>17</x:v>
      </x:c>
      <x:c r="B53">
        <x:v>0.57513117790222101</x:v>
      </x:c>
      <x:c r="C53" t="s">
        <x:v>23</x:v>
      </x:c>
      <x:c r="D53" t="s">
        <x:v>21</x:v>
      </x:c>
      <x:c r="E53" t="s">
        <x:v>37</x:v>
      </x:c>
      <x:c r="F53" t="s">
        <x:v>33</x:v>
      </x:c>
      <x:c r="G53" t="s">
        <x:v>14</x:v>
      </x:c>
      <x:c r="H53" t="s">
        <x:v>34</x:v>
      </x:c>
      <x:c r="I53" t="s">
        <x:v>35</x:v>
      </x:c>
    </x:row>
    <x:row r="54">
      <x:c r="A54" t="s">
        <x:v>18</x:v>
      </x:c>
      <x:c r="B54">
        <x:v>0.74068540334701505</x:v>
      </x:c>
      <x:c r="C54" t="s">
        <x:v>23</x:v>
      </x:c>
      <x:c r="D54" t="s">
        <x:v>21</x:v>
      </x:c>
      <x:c r="E54" t="s">
        <x:v>37</x:v>
      </x:c>
      <x:c r="F54" t="s">
        <x:v>33</x:v>
      </x:c>
      <x:c r="G54" t="s">
        <x:v>14</x:v>
      </x:c>
      <x:c r="H54" t="s">
        <x:v>34</x:v>
      </x:c>
      <x:c r="I54" t="s">
        <x:v>35</x:v>
      </x:c>
    </x:row>
    <x:row r="55">
      <x:c r="A55" t="s">
        <x:v>19</x:v>
      </x:c>
      <x:c r="B55">
        <x:v>0.86063081710278899</x:v>
      </x:c>
      <x:c r="C55" t="s">
        <x:v>23</x:v>
      </x:c>
      <x:c r="D55" t="s">
        <x:v>21</x:v>
      </x:c>
      <x:c r="E55" t="s">
        <x:v>37</x:v>
      </x:c>
      <x:c r="F55" t="s">
        <x:v>33</x:v>
      </x:c>
      <x:c r="G55" t="s">
        <x:v>14</x:v>
      </x:c>
      <x:c r="H55" t="s">
        <x:v>34</x:v>
      </x:c>
      <x:c r="I55" t="s">
        <x:v>35</x:v>
      </x:c>
    </x:row>
    <x:row r="56">
      <x:c r="A56" t="s">
        <x:v>20</x:v>
      </x:c>
      <x:c r="B56">
        <x:v>306293545893888</x:v>
      </x:c>
      <x:c r="C56" t="s">
        <x:v>23</x:v>
      </x:c>
      <x:c r="D56" t="s">
        <x:v>21</x:v>
      </x:c>
      <x:c r="E56" t="s">
        <x:v>37</x:v>
      </x:c>
      <x:c r="F56" t="s">
        <x:v>33</x:v>
      </x:c>
      <x:c r="G56" t="s">
        <x:v>14</x:v>
      </x:c>
      <x:c r="H56" t="s">
        <x:v>34</x:v>
      </x:c>
      <x:c r="I56" t="s">
        <x:v>35</x:v>
      </x:c>
    </x:row>
    <x:row r="57">
      <x:c r="A57" t="s">
        <x:v>9</x:v>
      </x:c>
      <x:c r="B57">
        <x:v>0.61943542516289896</x:v>
      </x:c>
      <x:c r="C57" t="s">
        <x:v>23</x:v>
      </x:c>
      <x:c r="D57" t="s">
        <x:v>11</x:v>
      </x:c>
      <x:c r="E57" t="s">
        <x:v>38</x:v>
      </x:c>
      <x:c r="F57" t="s">
        <x:v>33</x:v>
      </x:c>
      <x:c r="G57" t="s">
        <x:v>14</x:v>
      </x:c>
      <x:c r="H57" t="s">
        <x:v>34</x:v>
      </x:c>
      <x:c r="I57" t="s">
        <x:v>35</x:v>
      </x:c>
    </x:row>
    <x:row r="58">
      <x:c r="A58" t="s">
        <x:v>17</x:v>
      </x:c>
      <x:c r="B58">
        <x:v>0.57513117790222101</x:v>
      </x:c>
      <x:c r="C58" t="s">
        <x:v>23</x:v>
      </x:c>
      <x:c r="D58" t="s">
        <x:v>11</x:v>
      </x:c>
      <x:c r="E58" t="s">
        <x:v>38</x:v>
      </x:c>
      <x:c r="F58" t="s">
        <x:v>33</x:v>
      </x:c>
      <x:c r="G58" t="s">
        <x:v>14</x:v>
      </x:c>
      <x:c r="H58" t="s">
        <x:v>34</x:v>
      </x:c>
      <x:c r="I58" t="s">
        <x:v>35</x:v>
      </x:c>
    </x:row>
    <x:row r="59">
      <x:c r="A59" t="s">
        <x:v>18</x:v>
      </x:c>
      <x:c r="B59">
        <x:v>0.74068540334701505</x:v>
      </x:c>
      <x:c r="C59" t="s">
        <x:v>23</x:v>
      </x:c>
      <x:c r="D59" t="s">
        <x:v>11</x:v>
      </x:c>
      <x:c r="E59" t="s">
        <x:v>38</x:v>
      </x:c>
      <x:c r="F59" t="s">
        <x:v>33</x:v>
      </x:c>
      <x:c r="G59" t="s">
        <x:v>14</x:v>
      </x:c>
      <x:c r="H59" t="s">
        <x:v>34</x:v>
      </x:c>
      <x:c r="I59" t="s">
        <x:v>35</x:v>
      </x:c>
    </x:row>
    <x:row r="60">
      <x:c r="A60" t="s">
        <x:v>19</x:v>
      </x:c>
      <x:c r="B60">
        <x:v>0.86063081710278899</x:v>
      </x:c>
      <x:c r="C60" t="s">
        <x:v>23</x:v>
      </x:c>
      <x:c r="D60" t="s">
        <x:v>11</x:v>
      </x:c>
      <x:c r="E60" t="s">
        <x:v>38</x:v>
      </x:c>
      <x:c r="F60" t="s">
        <x:v>33</x:v>
      </x:c>
      <x:c r="G60" t="s">
        <x:v>14</x:v>
      </x:c>
      <x:c r="H60" t="s">
        <x:v>34</x:v>
      </x:c>
      <x:c r="I60" t="s">
        <x:v>35</x:v>
      </x:c>
    </x:row>
    <x:row r="61">
      <x:c r="A61" t="s">
        <x:v>20</x:v>
      </x:c>
      <x:c r="B61">
        <x:v>306293545893888</x:v>
      </x:c>
      <x:c r="C61" t="s">
        <x:v>23</x:v>
      </x:c>
      <x:c r="D61" t="s">
        <x:v>11</x:v>
      </x:c>
      <x:c r="E61" t="s">
        <x:v>38</x:v>
      </x:c>
      <x:c r="F61" t="s">
        <x:v>33</x:v>
      </x:c>
      <x:c r="G61" t="s">
        <x:v>14</x:v>
      </x:c>
      <x:c r="H61" t="s">
        <x:v>34</x:v>
      </x:c>
      <x:c r="I61" t="s">
        <x:v>35</x:v>
      </x:c>
    </x:row>
    <x:row r="62">
      <x:c r="A62" t="s">
        <x:v>9</x:v>
      </x:c>
      <x:c r="B62">
        <x:v>0.941754860146501</x:v>
      </x:c>
      <x:c r="C62" t="s">
        <x:v>10</x:v>
      </x:c>
      <x:c r="D62" t="s">
        <x:v>11</x:v>
      </x:c>
      <x:c r="E62" t="s">
        <x:v>39</x:v>
      </x:c>
      <x:c r="F62" t="s">
        <x:v>13</x:v>
      </x:c>
      <x:c r="G62" t="s">
        <x:v>27</x:v>
      </x:c>
      <x:c r="H62" t="s">
        <x:v>15</x:v>
      </x:c>
      <x:c r="I62" t="s">
        <x:v>40</x:v>
      </x:c>
    </x:row>
    <x:row r="63">
      <x:c r="A63" t="s">
        <x:v>17</x:v>
      </x:c>
      <x:c r="B63">
        <x:v>0.162334188818931</x:v>
      </x:c>
      <x:c r="C63" t="s">
        <x:v>10</x:v>
      </x:c>
      <x:c r="D63" t="s">
        <x:v>11</x:v>
      </x:c>
      <x:c r="E63" t="s">
        <x:v>39</x:v>
      </x:c>
      <x:c r="F63" t="s">
        <x:v>13</x:v>
      </x:c>
      <x:c r="G63" t="s">
        <x:v>27</x:v>
      </x:c>
      <x:c r="H63" t="s">
        <x:v>15</x:v>
      </x:c>
      <x:c r="I63" t="s">
        <x:v>40</x:v>
      </x:c>
    </x:row>
    <x:row r="64">
      <x:c r="A64" t="s">
        <x:v>18</x:v>
      </x:c>
      <x:c r="B64">
        <x:v>5.34319430589675E-2</x:v>
      </x:c>
      <x:c r="C64" t="s">
        <x:v>10</x:v>
      </x:c>
      <x:c r="D64" t="s">
        <x:v>11</x:v>
      </x:c>
      <x:c r="E64" t="s">
        <x:v>39</x:v>
      </x:c>
      <x:c r="F64" t="s">
        <x:v>13</x:v>
      </x:c>
      <x:c r="G64" t="s">
        <x:v>27</x:v>
      </x:c>
      <x:c r="H64" t="s">
        <x:v>15</x:v>
      </x:c>
      <x:c r="I64" t="s">
        <x:v>40</x:v>
      </x:c>
    </x:row>
    <x:row r="65">
      <x:c r="A65" t="s">
        <x:v>19</x:v>
      </x:c>
      <x:c r="B65">
        <x:v>0.23115350540056101</x:v>
      </x:c>
      <x:c r="C65" t="s">
        <x:v>10</x:v>
      </x:c>
      <x:c r="D65" t="s">
        <x:v>11</x:v>
      </x:c>
      <x:c r="E65" t="s">
        <x:v>39</x:v>
      </x:c>
      <x:c r="F65" t="s">
        <x:v>13</x:v>
      </x:c>
      <x:c r="G65" t="s">
        <x:v>27</x:v>
      </x:c>
      <x:c r="H65" t="s">
        <x:v>15</x:v>
      </x:c>
      <x:c r="I65" t="s">
        <x:v>40</x:v>
      </x:c>
    </x:row>
    <x:row r="66">
      <x:c r="A66" t="s">
        <x:v>20</x:v>
      </x:c>
      <x:c r="B66">
        <x:v>54184896364544</x:v>
      </x:c>
      <x:c r="C66" t="s">
        <x:v>10</x:v>
      </x:c>
      <x:c r="D66" t="s">
        <x:v>11</x:v>
      </x:c>
      <x:c r="E66" t="s">
        <x:v>39</x:v>
      </x:c>
      <x:c r="F66" t="s">
        <x:v>13</x:v>
      </x:c>
      <x:c r="G66" t="s">
        <x:v>27</x:v>
      </x:c>
      <x:c r="H66" t="s">
        <x:v>15</x:v>
      </x:c>
      <x:c r="I66" t="s">
        <x:v>40</x:v>
      </x:c>
    </x:row>
    <x:row r="67">
      <x:c r="A67" t="s">
        <x:v>9</x:v>
      </x:c>
      <x:c r="B67">
        <x:v>0.941754860146501</x:v>
      </x:c>
      <x:c r="C67" t="s">
        <x:v>10</x:v>
      </x:c>
      <x:c r="D67" t="s">
        <x:v>21</x:v>
      </x:c>
      <x:c r="E67" t="s">
        <x:v>41</x:v>
      </x:c>
      <x:c r="F67" t="s">
        <x:v>13</x:v>
      </x:c>
      <x:c r="G67" t="s">
        <x:v>27</x:v>
      </x:c>
      <x:c r="H67" t="s">
        <x:v>15</x:v>
      </x:c>
      <x:c r="I67" t="s">
        <x:v>40</x:v>
      </x:c>
    </x:row>
    <x:row r="68">
      <x:c r="A68" t="s">
        <x:v>17</x:v>
      </x:c>
      <x:c r="B68">
        <x:v>0.162334188818931</x:v>
      </x:c>
      <x:c r="C68" t="s">
        <x:v>10</x:v>
      </x:c>
      <x:c r="D68" t="s">
        <x:v>21</x:v>
      </x:c>
      <x:c r="E68" t="s">
        <x:v>41</x:v>
      </x:c>
      <x:c r="F68" t="s">
        <x:v>13</x:v>
      </x:c>
      <x:c r="G68" t="s">
        <x:v>27</x:v>
      </x:c>
      <x:c r="H68" t="s">
        <x:v>15</x:v>
      </x:c>
      <x:c r="I68" t="s">
        <x:v>40</x:v>
      </x:c>
    </x:row>
    <x:row r="69">
      <x:c r="A69" t="s">
        <x:v>18</x:v>
      </x:c>
      <x:c r="B69">
        <x:v>5.34319430589675E-2</x:v>
      </x:c>
      <x:c r="C69" t="s">
        <x:v>10</x:v>
      </x:c>
      <x:c r="D69" t="s">
        <x:v>21</x:v>
      </x:c>
      <x:c r="E69" t="s">
        <x:v>41</x:v>
      </x:c>
      <x:c r="F69" t="s">
        <x:v>13</x:v>
      </x:c>
      <x:c r="G69" t="s">
        <x:v>27</x:v>
      </x:c>
      <x:c r="H69" t="s">
        <x:v>15</x:v>
      </x:c>
      <x:c r="I69" t="s">
        <x:v>40</x:v>
      </x:c>
    </x:row>
    <x:row r="70">
      <x:c r="A70" t="s">
        <x:v>19</x:v>
      </x:c>
      <x:c r="B70">
        <x:v>0.23115350540056101</x:v>
      </x:c>
      <x:c r="C70" t="s">
        <x:v>10</x:v>
      </x:c>
      <x:c r="D70" t="s">
        <x:v>21</x:v>
      </x:c>
      <x:c r="E70" t="s">
        <x:v>41</x:v>
      </x:c>
      <x:c r="F70" t="s">
        <x:v>13</x:v>
      </x:c>
      <x:c r="G70" t="s">
        <x:v>27</x:v>
      </x:c>
      <x:c r="H70" t="s">
        <x:v>15</x:v>
      </x:c>
      <x:c r="I70" t="s">
        <x:v>40</x:v>
      </x:c>
    </x:row>
    <x:row r="71">
      <x:c r="A71" t="s">
        <x:v>20</x:v>
      </x:c>
      <x:c r="B71">
        <x:v>54184896364544</x:v>
      </x:c>
      <x:c r="C71" t="s">
        <x:v>10</x:v>
      </x:c>
      <x:c r="D71" t="s">
        <x:v>21</x:v>
      </x:c>
      <x:c r="E71" t="s">
        <x:v>41</x:v>
      </x:c>
      <x:c r="F71" t="s">
        <x:v>13</x:v>
      </x:c>
      <x:c r="G71" t="s">
        <x:v>27</x:v>
      </x:c>
      <x:c r="H71" t="s">
        <x:v>15</x:v>
      </x:c>
      <x:c r="I71" t="s">
        <x:v>40</x:v>
      </x:c>
    </x:row>
    <x:row r="72">
      <x:c r="A72" t="s">
        <x:v>9</x:v>
      </x:c>
      <x:c r="B72">
        <x:v>0.92602496111573496</x:v>
      </x:c>
      <x:c r="C72" t="s">
        <x:v>23</x:v>
      </x:c>
      <x:c r="D72" t="s">
        <x:v>21</x:v>
      </x:c>
      <x:c r="E72" t="s">
        <x:v>42</x:v>
      </x:c>
      <x:c r="F72" t="s">
        <x:v>13</x:v>
      </x:c>
      <x:c r="G72" t="s">
        <x:v>27</x:v>
      </x:c>
      <x:c r="H72" t="s">
        <x:v>15</x:v>
      </x:c>
      <x:c r="I72" t="s">
        <x:v>40</x:v>
      </x:c>
    </x:row>
    <x:row r="73">
      <x:c r="A73" t="s">
        <x:v>17</x:v>
      </x:c>
      <x:c r="B73">
        <x:v>0.28581678867339999</x:v>
      </x:c>
      <x:c r="C73" t="s">
        <x:v>23</x:v>
      </x:c>
      <x:c r="D73" t="s">
        <x:v>21</x:v>
      </x:c>
      <x:c r="E73" t="s">
        <x:v>42</x:v>
      </x:c>
      <x:c r="F73" t="s">
        <x:v>13</x:v>
      </x:c>
      <x:c r="G73" t="s">
        <x:v>27</x:v>
      </x:c>
      <x:c r="H73" t="s">
        <x:v>15</x:v>
      </x:c>
      <x:c r="I73" t="s">
        <x:v>40</x:v>
      </x:c>
    </x:row>
    <x:row r="74">
      <x:c r="A74" t="s">
        <x:v>18</x:v>
      </x:c>
      <x:c r="B74">
        <x:v>0.27146801352500899</x:v>
      </x:c>
      <x:c r="C74" t="s">
        <x:v>23</x:v>
      </x:c>
      <x:c r="D74" t="s">
        <x:v>21</x:v>
      </x:c>
      <x:c r="E74" t="s">
        <x:v>42</x:v>
      </x:c>
      <x:c r="F74" t="s">
        <x:v>13</x:v>
      </x:c>
      <x:c r="G74" t="s">
        <x:v>27</x:v>
      </x:c>
      <x:c r="H74" t="s">
        <x:v>15</x:v>
      </x:c>
      <x:c r="I74" t="s">
        <x:v>40</x:v>
      </x:c>
    </x:row>
    <x:row r="75">
      <x:c r="A75" t="s">
        <x:v>19</x:v>
      </x:c>
      <x:c r="B75">
        <x:v>0.52102592404314096</x:v>
      </x:c>
      <x:c r="C75" t="s">
        <x:v>23</x:v>
      </x:c>
      <x:c r="D75" t="s">
        <x:v>21</x:v>
      </x:c>
      <x:c r="E75" t="s">
        <x:v>42</x:v>
      </x:c>
      <x:c r="F75" t="s">
        <x:v>13</x:v>
      </x:c>
      <x:c r="G75" t="s">
        <x:v>27</x:v>
      </x:c>
      <x:c r="H75" t="s">
        <x:v>15</x:v>
      </x:c>
      <x:c r="I75" t="s">
        <x:v>40</x:v>
      </x:c>
    </x:row>
    <x:row r="76">
      <x:c r="A76" t="s">
        <x:v>20</x:v>
      </x:c>
      <x:c r="B76">
        <x:v>93083333033984</x:v>
      </x:c>
      <x:c r="C76" t="s">
        <x:v>23</x:v>
      </x:c>
      <x:c r="D76" t="s">
        <x:v>21</x:v>
      </x:c>
      <x:c r="E76" t="s">
        <x:v>42</x:v>
      </x:c>
      <x:c r="F76" t="s">
        <x:v>13</x:v>
      </x:c>
      <x:c r="G76" t="s">
        <x:v>27</x:v>
      </x:c>
      <x:c r="H76" t="s">
        <x:v>15</x:v>
      </x:c>
      <x:c r="I76" t="s">
        <x:v>40</x:v>
      </x:c>
    </x:row>
    <x:row r="77">
      <x:c r="A77" t="s">
        <x:v>9</x:v>
      </x:c>
      <x:c r="B77">
        <x:v>0.92602496111573496</x:v>
      </x:c>
      <x:c r="C77" t="s">
        <x:v>23</x:v>
      </x:c>
      <x:c r="D77" t="s">
        <x:v>11</x:v>
      </x:c>
      <x:c r="E77" t="s">
        <x:v>43</x:v>
      </x:c>
      <x:c r="F77" t="s">
        <x:v>13</x:v>
      </x:c>
      <x:c r="G77" t="s">
        <x:v>27</x:v>
      </x:c>
      <x:c r="H77" t="s">
        <x:v>15</x:v>
      </x:c>
      <x:c r="I77" t="s">
        <x:v>40</x:v>
      </x:c>
    </x:row>
    <x:row r="78">
      <x:c r="A78" t="s">
        <x:v>17</x:v>
      </x:c>
      <x:c r="B78">
        <x:v>0.28581678867339999</x:v>
      </x:c>
      <x:c r="C78" t="s">
        <x:v>23</x:v>
      </x:c>
      <x:c r="D78" t="s">
        <x:v>11</x:v>
      </x:c>
      <x:c r="E78" t="s">
        <x:v>43</x:v>
      </x:c>
      <x:c r="F78" t="s">
        <x:v>13</x:v>
      </x:c>
      <x:c r="G78" t="s">
        <x:v>27</x:v>
      </x:c>
      <x:c r="H78" t="s">
        <x:v>15</x:v>
      </x:c>
      <x:c r="I78" t="s">
        <x:v>40</x:v>
      </x:c>
    </x:row>
    <x:row r="79">
      <x:c r="A79" t="s">
        <x:v>18</x:v>
      </x:c>
      <x:c r="B79">
        <x:v>0.27146801352500899</x:v>
      </x:c>
      <x:c r="C79" t="s">
        <x:v>23</x:v>
      </x:c>
      <x:c r="D79" t="s">
        <x:v>11</x:v>
      </x:c>
      <x:c r="E79" t="s">
        <x:v>43</x:v>
      </x:c>
      <x:c r="F79" t="s">
        <x:v>13</x:v>
      </x:c>
      <x:c r="G79" t="s">
        <x:v>27</x:v>
      </x:c>
      <x:c r="H79" t="s">
        <x:v>15</x:v>
      </x:c>
      <x:c r="I79" t="s">
        <x:v>40</x:v>
      </x:c>
    </x:row>
    <x:row r="80">
      <x:c r="A80" t="s">
        <x:v>19</x:v>
      </x:c>
      <x:c r="B80">
        <x:v>0.52102592404314096</x:v>
      </x:c>
      <x:c r="C80" t="s">
        <x:v>23</x:v>
      </x:c>
      <x:c r="D80" t="s">
        <x:v>11</x:v>
      </x:c>
      <x:c r="E80" t="s">
        <x:v>43</x:v>
      </x:c>
      <x:c r="F80" t="s">
        <x:v>13</x:v>
      </x:c>
      <x:c r="G80" t="s">
        <x:v>27</x:v>
      </x:c>
      <x:c r="H80" t="s">
        <x:v>15</x:v>
      </x:c>
      <x:c r="I80" t="s">
        <x:v>40</x:v>
      </x:c>
    </x:row>
    <x:row r="81">
      <x:c r="A81" t="s">
        <x:v>20</x:v>
      </x:c>
      <x:c r="B81">
        <x:v>93083333033984</x:v>
      </x:c>
      <x:c r="C81" t="s">
        <x:v>23</x:v>
      </x:c>
      <x:c r="D81" t="s">
        <x:v>11</x:v>
      </x:c>
      <x:c r="E81" t="s">
        <x:v>43</x:v>
      </x:c>
      <x:c r="F81" t="s">
        <x:v>13</x:v>
      </x:c>
      <x:c r="G81" t="s">
        <x:v>27</x:v>
      </x:c>
      <x:c r="H81" t="s">
        <x:v>15</x:v>
      </x:c>
      <x:c r="I81" t="s">
        <x:v>40</x:v>
      </x:c>
    </x:row>
    <x:row r="82">
      <x:c r="A82" t="s">
        <x:v>9</x:v>
      </x:c>
      <x:c r="B82">
        <x:v>0.97383382052568002</x:v>
      </x:c>
      <x:c r="C82" t="s">
        <x:v>10</x:v>
      </x:c>
      <x:c r="D82" t="s">
        <x:v>11</x:v>
      </x:c>
      <x:c r="E82" t="s">
        <x:v>44</x:v>
      </x:c>
      <x:c r="F82" t="s">
        <x:v>33</x:v>
      </x:c>
      <x:c r="G82" t="s">
        <x:v>27</x:v>
      </x:c>
      <x:c r="I82" t="s">
        <x:v>45</x:v>
      </x:c>
    </x:row>
    <x:row r="83">
      <x:c r="A83" t="s">
        <x:v>17</x:v>
      </x:c>
      <x:c r="B83">
        <x:v>1.65723711252212E-2</x:v>
      </x:c>
      <x:c r="C83" t="s">
        <x:v>10</x:v>
      </x:c>
      <x:c r="D83" t="s">
        <x:v>11</x:v>
      </x:c>
      <x:c r="E83" t="s">
        <x:v>44</x:v>
      </x:c>
      <x:c r="F83" t="s">
        <x:v>33</x:v>
      </x:c>
      <x:c r="G83" t="s">
        <x:v>27</x:v>
      </x:c>
      <x:c r="I83" t="s">
        <x:v>45</x:v>
      </x:c>
    </x:row>
    <x:row r="84">
      <x:c r="A84" t="s">
        <x:v>18</x:v>
      </x:c>
      <x:c r="B84">
        <x:v>2.6764557696878901E-3</x:v>
      </x:c>
      <x:c r="C84" t="s">
        <x:v>10</x:v>
      </x:c>
      <x:c r="D84" t="s">
        <x:v>11</x:v>
      </x:c>
      <x:c r="E84" t="s">
        <x:v>44</x:v>
      </x:c>
      <x:c r="F84" t="s">
        <x:v>33</x:v>
      </x:c>
      <x:c r="G84" t="s">
        <x:v>27</x:v>
      </x:c>
      <x:c r="I84" t="s">
        <x:v>45</x:v>
      </x:c>
    </x:row>
    <x:row r="85">
      <x:c r="A85" t="s">
        <x:v>19</x:v>
      </x:c>
      <x:c r="B85">
        <x:v>5.17344737064937E-2</x:v>
      </x:c>
      <x:c r="C85" t="s">
        <x:v>10</x:v>
      </x:c>
      <x:c r="D85" t="s">
        <x:v>11</x:v>
      </x:c>
      <x:c r="E85" t="s">
        <x:v>44</x:v>
      </x:c>
      <x:c r="F85" t="s">
        <x:v>33</x:v>
      </x:c>
      <x:c r="G85" t="s">
        <x:v>27</x:v>
      </x:c>
      <x:c r="I85" t="s">
        <x:v>45</x:v>
      </x:c>
    </x:row>
    <x:row r="86">
      <x:c r="A86" t="s">
        <x:v>20</x:v>
      </x:c>
      <x:c r="B86">
        <x:v>14399814238208</x:v>
      </x:c>
      <x:c r="C86" t="s">
        <x:v>10</x:v>
      </x:c>
      <x:c r="D86" t="s">
        <x:v>11</x:v>
      </x:c>
      <x:c r="E86" t="s">
        <x:v>44</x:v>
      </x:c>
      <x:c r="F86" t="s">
        <x:v>33</x:v>
      </x:c>
      <x:c r="G86" t="s">
        <x:v>27</x:v>
      </x:c>
      <x:c r="I86" t="s">
        <x:v>45</x:v>
      </x:c>
    </x:row>
    <x:row r="87">
      <x:c r="A87" t="s">
        <x:v>9</x:v>
      </x:c>
      <x:c r="B87">
        <x:v>0.97383382052568002</x:v>
      </x:c>
      <x:c r="C87" t="s">
        <x:v>10</x:v>
      </x:c>
      <x:c r="D87" t="s">
        <x:v>21</x:v>
      </x:c>
      <x:c r="E87" t="s">
        <x:v>46</x:v>
      </x:c>
      <x:c r="F87" t="s">
        <x:v>33</x:v>
      </x:c>
      <x:c r="G87" t="s">
        <x:v>27</x:v>
      </x:c>
      <x:c r="I87" t="s">
        <x:v>45</x:v>
      </x:c>
    </x:row>
    <x:row r="88">
      <x:c r="A88" t="s">
        <x:v>17</x:v>
      </x:c>
      <x:c r="B88">
        <x:v>1.65723711252212E-2</x:v>
      </x:c>
      <x:c r="C88" t="s">
        <x:v>10</x:v>
      </x:c>
      <x:c r="D88" t="s">
        <x:v>21</x:v>
      </x:c>
      <x:c r="E88" t="s">
        <x:v>46</x:v>
      </x:c>
      <x:c r="F88" t="s">
        <x:v>33</x:v>
      </x:c>
      <x:c r="G88" t="s">
        <x:v>27</x:v>
      </x:c>
      <x:c r="I88" t="s">
        <x:v>45</x:v>
      </x:c>
    </x:row>
    <x:row r="89">
      <x:c r="A89" t="s">
        <x:v>18</x:v>
      </x:c>
      <x:c r="B89">
        <x:v>2.6764557696878901E-3</x:v>
      </x:c>
      <x:c r="C89" t="s">
        <x:v>10</x:v>
      </x:c>
      <x:c r="D89" t="s">
        <x:v>21</x:v>
      </x:c>
      <x:c r="E89" t="s">
        <x:v>46</x:v>
      </x:c>
      <x:c r="F89" t="s">
        <x:v>33</x:v>
      </x:c>
      <x:c r="G89" t="s">
        <x:v>27</x:v>
      </x:c>
      <x:c r="I89" t="s">
        <x:v>45</x:v>
      </x:c>
    </x:row>
    <x:row r="90">
      <x:c r="A90" t="s">
        <x:v>19</x:v>
      </x:c>
      <x:c r="B90">
        <x:v>5.17344737064937E-2</x:v>
      </x:c>
      <x:c r="C90" t="s">
        <x:v>10</x:v>
      </x:c>
      <x:c r="D90" t="s">
        <x:v>21</x:v>
      </x:c>
      <x:c r="E90" t="s">
        <x:v>46</x:v>
      </x:c>
      <x:c r="F90" t="s">
        <x:v>33</x:v>
      </x:c>
      <x:c r="G90" t="s">
        <x:v>27</x:v>
      </x:c>
      <x:c r="I90" t="s">
        <x:v>45</x:v>
      </x:c>
    </x:row>
    <x:row r="91">
      <x:c r="A91" t="s">
        <x:v>20</x:v>
      </x:c>
      <x:c r="B91">
        <x:v>14399814238208</x:v>
      </x:c>
      <x:c r="C91" t="s">
        <x:v>10</x:v>
      </x:c>
      <x:c r="D91" t="s">
        <x:v>21</x:v>
      </x:c>
      <x:c r="E91" t="s">
        <x:v>46</x:v>
      </x:c>
      <x:c r="F91" t="s">
        <x:v>33</x:v>
      </x:c>
      <x:c r="G91" t="s">
        <x:v>27</x:v>
      </x:c>
      <x:c r="I91" t="s">
        <x:v>45</x:v>
      </x:c>
    </x:row>
    <x:row r="92">
      <x:c r="A92" t="s">
        <x:v>9</x:v>
      </x:c>
      <x:c r="B92">
        <x:v>0.79717279523121898</x:v>
      </x:c>
      <x:c r="C92" t="s">
        <x:v>23</x:v>
      </x:c>
      <x:c r="D92" t="s">
        <x:v>21</x:v>
      </x:c>
      <x:c r="E92" t="s">
        <x:v>47</x:v>
      </x:c>
      <x:c r="F92" t="s">
        <x:v>33</x:v>
      </x:c>
      <x:c r="G92" t="s">
        <x:v>27</x:v>
      </x:c>
      <x:c r="I92" t="s">
        <x:v>45</x:v>
      </x:c>
    </x:row>
    <x:row r="93">
      <x:c r="A93" t="s">
        <x:v>17</x:v>
      </x:c>
      <x:c r="B93">
        <x:v>0.33786788582801802</x:v>
      </x:c>
      <x:c r="C93" t="s">
        <x:v>23</x:v>
      </x:c>
      <x:c r="D93" t="s">
        <x:v>21</x:v>
      </x:c>
      <x:c r="E93" t="s">
        <x:v>47</x:v>
      </x:c>
      <x:c r="F93" t="s">
        <x:v>33</x:v>
      </x:c>
      <x:c r="G93" t="s">
        <x:v>27</x:v>
      </x:c>
      <x:c r="I93" t="s">
        <x:v>45</x:v>
      </x:c>
    </x:row>
    <x:row r="94">
      <x:c r="A94" t="s">
        <x:v>18</x:v>
      </x:c>
      <x:c r="B94">
        <x:v>0.33446368575096103</x:v>
      </x:c>
      <x:c r="C94" t="s">
        <x:v>23</x:v>
      </x:c>
      <x:c r="D94" t="s">
        <x:v>21</x:v>
      </x:c>
      <x:c r="E94" t="s">
        <x:v>47</x:v>
      </x:c>
      <x:c r="F94" t="s">
        <x:v>33</x:v>
      </x:c>
      <x:c r="G94" t="s">
        <x:v>27</x:v>
      </x:c>
      <x:c r="I94" t="s">
        <x:v>45</x:v>
      </x:c>
    </x:row>
    <x:row r="95">
      <x:c r="A95" t="s">
        <x:v>19</x:v>
      </x:c>
      <x:c r="B95">
        <x:v>0.57832835461436705</x:v>
      </x:c>
      <x:c r="C95" t="s">
        <x:v>23</x:v>
      </x:c>
      <x:c r="D95" t="s">
        <x:v>21</x:v>
      </x:c>
      <x:c r="E95" t="s">
        <x:v>47</x:v>
      </x:c>
      <x:c r="F95" t="s">
        <x:v>33</x:v>
      </x:c>
      <x:c r="G95" t="s">
        <x:v>27</x:v>
      </x:c>
      <x:c r="I95" t="s">
        <x:v>45</x:v>
      </x:c>
    </x:row>
    <x:row r="96">
      <x:c r="A96" t="s">
        <x:v>20</x:v>
      </x:c>
      <x:c r="B96">
        <x:v>339938373533696</x:v>
      </x:c>
      <x:c r="C96" t="s">
        <x:v>23</x:v>
      </x:c>
      <x:c r="D96" t="s">
        <x:v>21</x:v>
      </x:c>
      <x:c r="E96" t="s">
        <x:v>47</x:v>
      </x:c>
      <x:c r="F96" t="s">
        <x:v>33</x:v>
      </x:c>
      <x:c r="G96" t="s">
        <x:v>27</x:v>
      </x:c>
      <x:c r="I96" t="s">
        <x:v>45</x:v>
      </x:c>
    </x:row>
    <x:row r="97">
      <x:c r="A97" t="s">
        <x:v>9</x:v>
      </x:c>
      <x:c r="B97">
        <x:v>0.79717279523121898</x:v>
      </x:c>
      <x:c r="C97" t="s">
        <x:v>23</x:v>
      </x:c>
      <x:c r="D97" t="s">
        <x:v>11</x:v>
      </x:c>
      <x:c r="E97" t="s">
        <x:v>48</x:v>
      </x:c>
      <x:c r="F97" t="s">
        <x:v>33</x:v>
      </x:c>
      <x:c r="G97" t="s">
        <x:v>27</x:v>
      </x:c>
      <x:c r="I97" t="s">
        <x:v>45</x:v>
      </x:c>
    </x:row>
    <x:row r="98">
      <x:c r="A98" t="s">
        <x:v>17</x:v>
      </x:c>
      <x:c r="B98">
        <x:v>0.33786788582801802</x:v>
      </x:c>
      <x:c r="C98" t="s">
        <x:v>23</x:v>
      </x:c>
      <x:c r="D98" t="s">
        <x:v>11</x:v>
      </x:c>
      <x:c r="E98" t="s">
        <x:v>48</x:v>
      </x:c>
      <x:c r="F98" t="s">
        <x:v>33</x:v>
      </x:c>
      <x:c r="G98" t="s">
        <x:v>27</x:v>
      </x:c>
      <x:c r="I98" t="s">
        <x:v>45</x:v>
      </x:c>
    </x:row>
    <x:row r="99">
      <x:c r="A99" t="s">
        <x:v>18</x:v>
      </x:c>
      <x:c r="B99">
        <x:v>0.33446368575096103</x:v>
      </x:c>
      <x:c r="C99" t="s">
        <x:v>23</x:v>
      </x:c>
      <x:c r="D99" t="s">
        <x:v>11</x:v>
      </x:c>
      <x:c r="E99" t="s">
        <x:v>48</x:v>
      </x:c>
      <x:c r="F99" t="s">
        <x:v>33</x:v>
      </x:c>
      <x:c r="G99" t="s">
        <x:v>27</x:v>
      </x:c>
      <x:c r="I99" t="s">
        <x:v>45</x:v>
      </x:c>
    </x:row>
    <x:row r="100">
      <x:c r="A100" t="s">
        <x:v>19</x:v>
      </x:c>
      <x:c r="B100">
        <x:v>0.57832835461436705</x:v>
      </x:c>
      <x:c r="C100" t="s">
        <x:v>23</x:v>
      </x:c>
      <x:c r="D100" t="s">
        <x:v>11</x:v>
      </x:c>
      <x:c r="E100" t="s">
        <x:v>48</x:v>
      </x:c>
      <x:c r="F100" t="s">
        <x:v>33</x:v>
      </x:c>
      <x:c r="G100" t="s">
        <x:v>27</x:v>
      </x:c>
      <x:c r="I100" t="s">
        <x:v>45</x:v>
      </x:c>
    </x:row>
    <x:row r="101">
      <x:c r="A101" t="s">
        <x:v>20</x:v>
      </x:c>
      <x:c r="B101">
        <x:v>339938373533696</x:v>
      </x:c>
      <x:c r="C101" t="s">
        <x:v>23</x:v>
      </x:c>
      <x:c r="D101" t="s">
        <x:v>11</x:v>
      </x:c>
      <x:c r="E101" t="s">
        <x:v>48</x:v>
      </x:c>
      <x:c r="F101" t="s">
        <x:v>33</x:v>
      </x:c>
      <x:c r="G101" t="s">
        <x:v>27</x:v>
      </x:c>
      <x:c r="I101" t="s">
        <x:v>45</x:v>
      </x:c>
    </x:row>
    <x:row r="102">
      <x:c r="A102" t="s">
        <x:v>9</x:v>
      </x:c>
      <x:c r="B102">
        <x:v>0.95965177869997598</x:v>
      </x:c>
      <x:c r="C102" t="s">
        <x:v>10</x:v>
      </x:c>
      <x:c r="D102" t="s">
        <x:v>11</x:v>
      </x:c>
      <x:c r="E102" t="s">
        <x:v>49</x:v>
      </x:c>
      <x:c r="F102" t="s">
        <x:v>33</x:v>
      </x:c>
      <x:c r="G102" t="s">
        <x:v>27</x:v>
      </x:c>
      <x:c r="I102" t="s">
        <x:v>16</x:v>
      </x:c>
    </x:row>
    <x:row r="103">
      <x:c r="A103" t="s">
        <x:v>17</x:v>
      </x:c>
      <x:c r="B103">
        <x:v>4.1377589106559698E-2</x:v>
      </x:c>
      <x:c r="C103" t="s">
        <x:v>10</x:v>
      </x:c>
      <x:c r="D103" t="s">
        <x:v>11</x:v>
      </x:c>
      <x:c r="E103" t="s">
        <x:v>49</x:v>
      </x:c>
      <x:c r="F103" t="s">
        <x:v>33</x:v>
      </x:c>
      <x:c r="G103" t="s">
        <x:v>27</x:v>
      </x:c>
      <x:c r="I103" t="s">
        <x:v>16</x:v>
      </x:c>
    </x:row>
    <x:row r="104">
      <x:c r="A104" t="s">
        <x:v>18</x:v>
      </x:c>
      <x:c r="B104">
        <x:v>8.6907530203461595E-3</x:v>
      </x:c>
      <x:c r="C104" t="s">
        <x:v>10</x:v>
      </x:c>
      <x:c r="D104" t="s">
        <x:v>11</x:v>
      </x:c>
      <x:c r="E104" t="s">
        <x:v>49</x:v>
      </x:c>
      <x:c r="F104" t="s">
        <x:v>33</x:v>
      </x:c>
      <x:c r="G104" t="s">
        <x:v>27</x:v>
      </x:c>
      <x:c r="I104" t="s">
        <x:v>16</x:v>
      </x:c>
    </x:row>
    <x:row r="105">
      <x:c r="A105" t="s">
        <x:v>19</x:v>
      </x:c>
      <x:c r="B105">
        <x:v>9.3224208338532705E-2</x:v>
      </x:c>
      <x:c r="C105" t="s">
        <x:v>10</x:v>
      </x:c>
      <x:c r="D105" t="s">
        <x:v>11</x:v>
      </x:c>
      <x:c r="E105" t="s">
        <x:v>49</x:v>
      </x:c>
      <x:c r="F105" t="s">
        <x:v>33</x:v>
      </x:c>
      <x:c r="G105" t="s">
        <x:v>27</x:v>
      </x:c>
      <x:c r="I105" t="s">
        <x:v>16</x:v>
      </x:c>
    </x:row>
    <x:row r="106">
      <x:c r="A106" t="s">
        <x:v>20</x:v>
      </x:c>
      <x:c r="B106">
        <x:v>34546382798848</x:v>
      </x:c>
      <x:c r="C106" t="s">
        <x:v>10</x:v>
      </x:c>
      <x:c r="D106" t="s">
        <x:v>11</x:v>
      </x:c>
      <x:c r="E106" t="s">
        <x:v>49</x:v>
      </x:c>
      <x:c r="F106" t="s">
        <x:v>33</x:v>
      </x:c>
      <x:c r="G106" t="s">
        <x:v>27</x:v>
      </x:c>
      <x:c r="I106" t="s">
        <x:v>16</x:v>
      </x:c>
    </x:row>
    <x:row r="107">
      <x:c r="A107" t="s">
        <x:v>9</x:v>
      </x:c>
      <x:c r="B107">
        <x:v>0.95965177869997598</x:v>
      </x:c>
      <x:c r="C107" t="s">
        <x:v>10</x:v>
      </x:c>
      <x:c r="D107" t="s">
        <x:v>21</x:v>
      </x:c>
      <x:c r="E107" t="s">
        <x:v>50</x:v>
      </x:c>
      <x:c r="F107" t="s">
        <x:v>33</x:v>
      </x:c>
      <x:c r="G107" t="s">
        <x:v>27</x:v>
      </x:c>
      <x:c r="I107" t="s">
        <x:v>16</x:v>
      </x:c>
    </x:row>
    <x:row r="108">
      <x:c r="A108" t="s">
        <x:v>17</x:v>
      </x:c>
      <x:c r="B108">
        <x:v>4.1377589106559698E-2</x:v>
      </x:c>
      <x:c r="C108" t="s">
        <x:v>10</x:v>
      </x:c>
      <x:c r="D108" t="s">
        <x:v>21</x:v>
      </x:c>
      <x:c r="E108" t="s">
        <x:v>50</x:v>
      </x:c>
      <x:c r="F108" t="s">
        <x:v>33</x:v>
      </x:c>
      <x:c r="G108" t="s">
        <x:v>27</x:v>
      </x:c>
      <x:c r="I108" t="s">
        <x:v>16</x:v>
      </x:c>
    </x:row>
    <x:row r="109">
      <x:c r="A109" t="s">
        <x:v>18</x:v>
      </x:c>
      <x:c r="B109">
        <x:v>8.6907530203461595E-3</x:v>
      </x:c>
      <x:c r="C109" t="s">
        <x:v>10</x:v>
      </x:c>
      <x:c r="D109" t="s">
        <x:v>21</x:v>
      </x:c>
      <x:c r="E109" t="s">
        <x:v>50</x:v>
      </x:c>
      <x:c r="F109" t="s">
        <x:v>33</x:v>
      </x:c>
      <x:c r="G109" t="s">
        <x:v>27</x:v>
      </x:c>
      <x:c r="I109" t="s">
        <x:v>16</x:v>
      </x:c>
    </x:row>
    <x:row r="110">
      <x:c r="A110" t="s">
        <x:v>19</x:v>
      </x:c>
      <x:c r="B110">
        <x:v>9.3224208338532705E-2</x:v>
      </x:c>
      <x:c r="C110" t="s">
        <x:v>10</x:v>
      </x:c>
      <x:c r="D110" t="s">
        <x:v>21</x:v>
      </x:c>
      <x:c r="E110" t="s">
        <x:v>50</x:v>
      </x:c>
      <x:c r="F110" t="s">
        <x:v>33</x:v>
      </x:c>
      <x:c r="G110" t="s">
        <x:v>27</x:v>
      </x:c>
      <x:c r="I110" t="s">
        <x:v>16</x:v>
      </x:c>
    </x:row>
    <x:row r="111">
      <x:c r="A111" t="s">
        <x:v>20</x:v>
      </x:c>
      <x:c r="B111">
        <x:v>34546382798848</x:v>
      </x:c>
      <x:c r="C111" t="s">
        <x:v>10</x:v>
      </x:c>
      <x:c r="D111" t="s">
        <x:v>21</x:v>
      </x:c>
      <x:c r="E111" t="s">
        <x:v>50</x:v>
      </x:c>
      <x:c r="F111" t="s">
        <x:v>33</x:v>
      </x:c>
      <x:c r="G111" t="s">
        <x:v>27</x:v>
      </x:c>
      <x:c r="I111" t="s">
        <x:v>16</x:v>
      </x:c>
    </x:row>
    <x:row r="112">
      <x:c r="A112" t="s">
        <x:v>9</x:v>
      </x:c>
      <x:c r="B112">
        <x:v>0.86279862363694404</x:v>
      </x:c>
      <x:c r="C112" t="s">
        <x:v>23</x:v>
      </x:c>
      <x:c r="D112" t="s">
        <x:v>21</x:v>
      </x:c>
      <x:c r="E112" t="s">
        <x:v>51</x:v>
      </x:c>
      <x:c r="F112" t="s">
        <x:v>33</x:v>
      </x:c>
      <x:c r="G112" t="s">
        <x:v>27</x:v>
      </x:c>
      <x:c r="I112" t="s">
        <x:v>16</x:v>
      </x:c>
    </x:row>
    <x:row r="113">
      <x:c r="A113" t="s">
        <x:v>17</x:v>
      </x:c>
      <x:c r="B113">
        <x:v>0.26804909110069203</x:v>
      </x:c>
      <x:c r="C113" t="s">
        <x:v>23</x:v>
      </x:c>
      <x:c r="D113" t="s">
        <x:v>21</x:v>
      </x:c>
      <x:c r="E113" t="s">
        <x:v>51</x:v>
      </x:c>
      <x:c r="F113" t="s">
        <x:v>33</x:v>
      </x:c>
      <x:c r="G113" t="s">
        <x:v>27</x:v>
      </x:c>
      <x:c r="I113" t="s">
        <x:v>16</x:v>
      </x:c>
    </x:row>
    <x:row r="114">
      <x:c r="A114" t="s">
        <x:v>18</x:v>
      </x:c>
      <x:c r="B114">
        <x:v>0.246679157018661</x:v>
      </x:c>
      <x:c r="C114" t="s">
        <x:v>23</x:v>
      </x:c>
      <x:c r="D114" t="s">
        <x:v>21</x:v>
      </x:c>
      <x:c r="E114" t="s">
        <x:v>51</x:v>
      </x:c>
      <x:c r="F114" t="s">
        <x:v>33</x:v>
      </x:c>
      <x:c r="G114" t="s">
        <x:v>27</x:v>
      </x:c>
      <x:c r="I114" t="s">
        <x:v>16</x:v>
      </x:c>
    </x:row>
    <x:row r="115">
      <x:c r="A115" t="s">
        <x:v>19</x:v>
      </x:c>
      <x:c r="B115">
        <x:v>0.49666805516225898</x:v>
      </x:c>
      <x:c r="C115" t="s">
        <x:v>23</x:v>
      </x:c>
      <x:c r="D115" t="s">
        <x:v>21</x:v>
      </x:c>
      <x:c r="E115" t="s">
        <x:v>51</x:v>
      </x:c>
      <x:c r="F115" t="s">
        <x:v>33</x:v>
      </x:c>
      <x:c r="G115" t="s">
        <x:v>27</x:v>
      </x:c>
      <x:c r="I115" t="s">
        <x:v>16</x:v>
      </x:c>
    </x:row>
    <x:row r="116">
      <x:c r="A116" t="s">
        <x:v>20</x:v>
      </x:c>
      <x:c r="B116">
        <x:v>182805384396800</x:v>
      </x:c>
      <x:c r="C116" t="s">
        <x:v>23</x:v>
      </x:c>
      <x:c r="D116" t="s">
        <x:v>21</x:v>
      </x:c>
      <x:c r="E116" t="s">
        <x:v>51</x:v>
      </x:c>
      <x:c r="F116" t="s">
        <x:v>33</x:v>
      </x:c>
      <x:c r="G116" t="s">
        <x:v>27</x:v>
      </x:c>
      <x:c r="I116" t="s">
        <x:v>16</x:v>
      </x:c>
    </x:row>
    <x:row r="117">
      <x:c r="A117" t="s">
        <x:v>9</x:v>
      </x:c>
      <x:c r="B117">
        <x:v>0.86279862363694404</x:v>
      </x:c>
      <x:c r="C117" t="s">
        <x:v>23</x:v>
      </x:c>
      <x:c r="D117" t="s">
        <x:v>11</x:v>
      </x:c>
      <x:c r="E117" t="s">
        <x:v>52</x:v>
      </x:c>
      <x:c r="F117" t="s">
        <x:v>33</x:v>
      </x:c>
      <x:c r="G117" t="s">
        <x:v>27</x:v>
      </x:c>
      <x:c r="I117" t="s">
        <x:v>16</x:v>
      </x:c>
    </x:row>
    <x:row r="118">
      <x:c r="A118" t="s">
        <x:v>17</x:v>
      </x:c>
      <x:c r="B118">
        <x:v>0.26804909110069203</x:v>
      </x:c>
      <x:c r="C118" t="s">
        <x:v>23</x:v>
      </x:c>
      <x:c r="D118" t="s">
        <x:v>11</x:v>
      </x:c>
      <x:c r="E118" t="s">
        <x:v>52</x:v>
      </x:c>
      <x:c r="F118" t="s">
        <x:v>33</x:v>
      </x:c>
      <x:c r="G118" t="s">
        <x:v>27</x:v>
      </x:c>
      <x:c r="I118" t="s">
        <x:v>16</x:v>
      </x:c>
    </x:row>
    <x:row r="119">
      <x:c r="A119" t="s">
        <x:v>18</x:v>
      </x:c>
      <x:c r="B119">
        <x:v>0.246679157018661</x:v>
      </x:c>
      <x:c r="C119" t="s">
        <x:v>23</x:v>
      </x:c>
      <x:c r="D119" t="s">
        <x:v>11</x:v>
      </x:c>
      <x:c r="E119" t="s">
        <x:v>52</x:v>
      </x:c>
      <x:c r="F119" t="s">
        <x:v>33</x:v>
      </x:c>
      <x:c r="G119" t="s">
        <x:v>27</x:v>
      </x:c>
      <x:c r="I119" t="s">
        <x:v>16</x:v>
      </x:c>
    </x:row>
    <x:row r="120">
      <x:c r="A120" t="s">
        <x:v>19</x:v>
      </x:c>
      <x:c r="B120">
        <x:v>0.49666805516225898</x:v>
      </x:c>
      <x:c r="C120" t="s">
        <x:v>23</x:v>
      </x:c>
      <x:c r="D120" t="s">
        <x:v>11</x:v>
      </x:c>
      <x:c r="E120" t="s">
        <x:v>52</x:v>
      </x:c>
      <x:c r="F120" t="s">
        <x:v>33</x:v>
      </x:c>
      <x:c r="G120" t="s">
        <x:v>27</x:v>
      </x:c>
      <x:c r="I120" t="s">
        <x:v>16</x:v>
      </x:c>
    </x:row>
    <x:row r="121">
      <x:c r="A121" t="s">
        <x:v>20</x:v>
      </x:c>
      <x:c r="B121">
        <x:v>182805384396800</x:v>
      </x:c>
      <x:c r="C121" t="s">
        <x:v>23</x:v>
      </x:c>
      <x:c r="D121" t="s">
        <x:v>11</x:v>
      </x:c>
      <x:c r="E121" t="s">
        <x:v>52</x:v>
      </x:c>
      <x:c r="F121" t="s">
        <x:v>33</x:v>
      </x:c>
      <x:c r="G121" t="s">
        <x:v>27</x:v>
      </x:c>
      <x:c r="I121" t="s">
        <x:v>16</x:v>
      </x:c>
    </x:row>
    <x:row r="122">
      <x:c r="A122" t="s">
        <x:v>9</x:v>
      </x:c>
      <x:c r="B122">
        <x:v>0.87201055330038002</x:v>
      </x:c>
      <x:c r="C122" t="s">
        <x:v>10</x:v>
      </x:c>
      <x:c r="D122" t="s">
        <x:v>11</x:v>
      </x:c>
      <x:c r="E122" t="s">
        <x:v>53</x:v>
      </x:c>
      <x:c r="F122" t="s">
        <x:v>13</x:v>
      </x:c>
      <x:c r="G122" t="s">
        <x:v>14</x:v>
      </x:c>
      <x:c r="H122" t="s">
        <x:v>15</x:v>
      </x:c>
      <x:c r="I122" t="s">
        <x:v>35</x:v>
      </x:c>
    </x:row>
    <x:row r="123">
      <x:c r="A123" t="s">
        <x:v>17</x:v>
      </x:c>
      <x:c r="B123">
        <x:v>0.37630975246429399</x:v>
      </x:c>
      <x:c r="C123" t="s">
        <x:v>10</x:v>
      </x:c>
      <x:c r="D123" t="s">
        <x:v>11</x:v>
      </x:c>
      <x:c r="E123" t="s">
        <x:v>53</x:v>
      </x:c>
      <x:c r="F123" t="s">
        <x:v>13</x:v>
      </x:c>
      <x:c r="G123" t="s">
        <x:v>14</x:v>
      </x:c>
      <x:c r="H123" t="s">
        <x:v>15</x:v>
      </x:c>
      <x:c r="I123" t="s">
        <x:v>35</x:v>
      </x:c>
    </x:row>
    <x:row r="124">
      <x:c r="A124" t="s">
        <x:v>18</x:v>
      </x:c>
      <x:c r="B124">
        <x:v>0.24356479942798601</x:v>
      </x:c>
      <x:c r="C124" t="s">
        <x:v>10</x:v>
      </x:c>
      <x:c r="D124" t="s">
        <x:v>11</x:v>
      </x:c>
      <x:c r="E124" t="s">
        <x:v>53</x:v>
      </x:c>
      <x:c r="F124" t="s">
        <x:v>13</x:v>
      </x:c>
      <x:c r="G124" t="s">
        <x:v>14</x:v>
      </x:c>
      <x:c r="H124" t="s">
        <x:v>15</x:v>
      </x:c>
      <x:c r="I124" t="s">
        <x:v>35</x:v>
      </x:c>
    </x:row>
    <x:row r="125">
      <x:c r="A125" t="s">
        <x:v>19</x:v>
      </x:c>
      <x:c r="B125">
        <x:v>0.493522845902787</x:v>
      </x:c>
      <x:c r="C125" t="s">
        <x:v>10</x:v>
      </x:c>
      <x:c r="D125" t="s">
        <x:v>11</x:v>
      </x:c>
      <x:c r="E125" t="s">
        <x:v>53</x:v>
      </x:c>
      <x:c r="F125" t="s">
        <x:v>13</x:v>
      </x:c>
      <x:c r="G125" t="s">
        <x:v>14</x:v>
      </x:c>
      <x:c r="H125" t="s">
        <x:v>15</x:v>
      </x:c>
      <x:c r="I125" t="s">
        <x:v>35</x:v>
      </x:c>
    </x:row>
    <x:row r="126">
      <x:c r="A126" t="s">
        <x:v>20</x:v>
      </x:c>
      <x:c r="B126">
        <x:v>7195682930688</x:v>
      </x:c>
      <x:c r="C126" t="s">
        <x:v>10</x:v>
      </x:c>
      <x:c r="D126" t="s">
        <x:v>11</x:v>
      </x:c>
      <x:c r="E126" t="s">
        <x:v>53</x:v>
      </x:c>
      <x:c r="F126" t="s">
        <x:v>13</x:v>
      </x:c>
      <x:c r="G126" t="s">
        <x:v>14</x:v>
      </x:c>
      <x:c r="H126" t="s">
        <x:v>15</x:v>
      </x:c>
      <x:c r="I126" t="s">
        <x:v>35</x:v>
      </x:c>
    </x:row>
    <x:row r="127">
      <x:c r="A127" t="s">
        <x:v>9</x:v>
      </x:c>
      <x:c r="B127">
        <x:v>0.87201055330038002</x:v>
      </x:c>
      <x:c r="C127" t="s">
        <x:v>10</x:v>
      </x:c>
      <x:c r="D127" t="s">
        <x:v>21</x:v>
      </x:c>
      <x:c r="E127" t="s">
        <x:v>54</x:v>
      </x:c>
      <x:c r="F127" t="s">
        <x:v>13</x:v>
      </x:c>
      <x:c r="G127" t="s">
        <x:v>14</x:v>
      </x:c>
      <x:c r="H127" t="s">
        <x:v>15</x:v>
      </x:c>
      <x:c r="I127" t="s">
        <x:v>35</x:v>
      </x:c>
    </x:row>
    <x:row r="128">
      <x:c r="A128" t="s">
        <x:v>17</x:v>
      </x:c>
      <x:c r="B128">
        <x:v>0.37630975246429399</x:v>
      </x:c>
      <x:c r="C128" t="s">
        <x:v>10</x:v>
      </x:c>
      <x:c r="D128" t="s">
        <x:v>21</x:v>
      </x:c>
      <x:c r="E128" t="s">
        <x:v>54</x:v>
      </x:c>
      <x:c r="F128" t="s">
        <x:v>13</x:v>
      </x:c>
      <x:c r="G128" t="s">
        <x:v>14</x:v>
      </x:c>
      <x:c r="H128" t="s">
        <x:v>15</x:v>
      </x:c>
      <x:c r="I128" t="s">
        <x:v>35</x:v>
      </x:c>
    </x:row>
    <x:row r="129">
      <x:c r="A129" t="s">
        <x:v>18</x:v>
      </x:c>
      <x:c r="B129">
        <x:v>0.24356479942798601</x:v>
      </x:c>
      <x:c r="C129" t="s">
        <x:v>10</x:v>
      </x:c>
      <x:c r="D129" t="s">
        <x:v>21</x:v>
      </x:c>
      <x:c r="E129" t="s">
        <x:v>54</x:v>
      </x:c>
      <x:c r="F129" t="s">
        <x:v>13</x:v>
      </x:c>
      <x:c r="G129" t="s">
        <x:v>14</x:v>
      </x:c>
      <x:c r="H129" t="s">
        <x:v>15</x:v>
      </x:c>
      <x:c r="I129" t="s">
        <x:v>35</x:v>
      </x:c>
    </x:row>
    <x:row r="130">
      <x:c r="A130" t="s">
        <x:v>19</x:v>
      </x:c>
      <x:c r="B130">
        <x:v>0.493522845902787</x:v>
      </x:c>
      <x:c r="C130" t="s">
        <x:v>10</x:v>
      </x:c>
      <x:c r="D130" t="s">
        <x:v>21</x:v>
      </x:c>
      <x:c r="E130" t="s">
        <x:v>54</x:v>
      </x:c>
      <x:c r="F130" t="s">
        <x:v>13</x:v>
      </x:c>
      <x:c r="G130" t="s">
        <x:v>14</x:v>
      </x:c>
      <x:c r="H130" t="s">
        <x:v>15</x:v>
      </x:c>
      <x:c r="I130" t="s">
        <x:v>35</x:v>
      </x:c>
    </x:row>
    <x:row r="131">
      <x:c r="A131" t="s">
        <x:v>20</x:v>
      </x:c>
      <x:c r="B131">
        <x:v>7195682930688</x:v>
      </x:c>
      <x:c r="C131" t="s">
        <x:v>10</x:v>
      </x:c>
      <x:c r="D131" t="s">
        <x:v>21</x:v>
      </x:c>
      <x:c r="E131" t="s">
        <x:v>54</x:v>
      </x:c>
      <x:c r="F131" t="s">
        <x:v>13</x:v>
      </x:c>
      <x:c r="G131" t="s">
        <x:v>14</x:v>
      </x:c>
      <x:c r="H131" t="s">
        <x:v>15</x:v>
      </x:c>
      <x:c r="I131" t="s">
        <x:v>35</x:v>
      </x:c>
    </x:row>
    <x:row r="132">
      <x:c r="A132" t="s">
        <x:v>9</x:v>
      </x:c>
      <x:c r="B132">
        <x:v>0.66001028413645202</x:v>
      </x:c>
      <x:c r="C132" t="s">
        <x:v>23</x:v>
      </x:c>
      <x:c r="D132" t="s">
        <x:v>21</x:v>
      </x:c>
      <x:c r="E132" t="s">
        <x:v>55</x:v>
      </x:c>
      <x:c r="F132" t="s">
        <x:v>13</x:v>
      </x:c>
      <x:c r="G132" t="s">
        <x:v>14</x:v>
      </x:c>
      <x:c r="H132" t="s">
        <x:v>15</x:v>
      </x:c>
      <x:c r="I132" t="s">
        <x:v>35</x:v>
      </x:c>
    </x:row>
    <x:row r="133">
      <x:c r="A133" t="s">
        <x:v>17</x:v>
      </x:c>
      <x:c r="B133">
        <x:v>0.52712714672088601</x:v>
      </x:c>
      <x:c r="C133" t="s">
        <x:v>23</x:v>
      </x:c>
      <x:c r="D133" t="s">
        <x:v>21</x:v>
      </x:c>
      <x:c r="E133" t="s">
        <x:v>55</x:v>
      </x:c>
      <x:c r="F133" t="s">
        <x:v>13</x:v>
      </x:c>
      <x:c r="G133" t="s">
        <x:v>14</x:v>
      </x:c>
      <x:c r="H133" t="s">
        <x:v>15</x:v>
      </x:c>
      <x:c r="I133" t="s">
        <x:v>35</x:v>
      </x:c>
    </x:row>
    <x:row r="134">
      <x:c r="A134" t="s">
        <x:v>18</x:v>
      </x:c>
      <x:c r="B134">
        <x:v>0.56001591682434004</x:v>
      </x:c>
      <x:c r="C134" t="s">
        <x:v>23</x:v>
      </x:c>
      <x:c r="D134" t="s">
        <x:v>21</x:v>
      </x:c>
      <x:c r="E134" t="s">
        <x:v>55</x:v>
      </x:c>
      <x:c r="F134" t="s">
        <x:v>13</x:v>
      </x:c>
      <x:c r="G134" t="s">
        <x:v>14</x:v>
      </x:c>
      <x:c r="H134" t="s">
        <x:v>15</x:v>
      </x:c>
      <x:c r="I134" t="s">
        <x:v>35</x:v>
      </x:c>
    </x:row>
    <x:row r="135">
      <x:c r="A135" t="s">
        <x:v>19</x:v>
      </x:c>
      <x:c r="B135">
        <x:v>0.74834211215482205</x:v>
      </x:c>
      <x:c r="C135" t="s">
        <x:v>23</x:v>
      </x:c>
      <x:c r="D135" t="s">
        <x:v>21</x:v>
      </x:c>
      <x:c r="E135" t="s">
        <x:v>55</x:v>
      </x:c>
      <x:c r="F135" t="s">
        <x:v>13</x:v>
      </x:c>
      <x:c r="G135" t="s">
        <x:v>14</x:v>
      </x:c>
      <x:c r="H135" t="s">
        <x:v>15</x:v>
      </x:c>
      <x:c r="I135" t="s">
        <x:v>35</x:v>
      </x:c>
    </x:row>
    <x:row r="136">
      <x:c r="A136" t="s">
        <x:v>20</x:v>
      </x:c>
      <x:c r="B136">
        <x:v>619595605999616</x:v>
      </x:c>
      <x:c r="C136" t="s">
        <x:v>23</x:v>
      </x:c>
      <x:c r="D136" t="s">
        <x:v>21</x:v>
      </x:c>
      <x:c r="E136" t="s">
        <x:v>55</x:v>
      </x:c>
      <x:c r="F136" t="s">
        <x:v>13</x:v>
      </x:c>
      <x:c r="G136" t="s">
        <x:v>14</x:v>
      </x:c>
      <x:c r="H136" t="s">
        <x:v>15</x:v>
      </x:c>
      <x:c r="I136" t="s">
        <x:v>35</x:v>
      </x:c>
    </x:row>
    <x:row r="137">
      <x:c r="A137" t="s">
        <x:v>9</x:v>
      </x:c>
      <x:c r="B137">
        <x:v>0.66001028413645202</x:v>
      </x:c>
      <x:c r="C137" t="s">
        <x:v>23</x:v>
      </x:c>
      <x:c r="D137" t="s">
        <x:v>11</x:v>
      </x:c>
      <x:c r="E137" t="s">
        <x:v>56</x:v>
      </x:c>
      <x:c r="F137" t="s">
        <x:v>13</x:v>
      </x:c>
      <x:c r="G137" t="s">
        <x:v>14</x:v>
      </x:c>
      <x:c r="H137" t="s">
        <x:v>15</x:v>
      </x:c>
      <x:c r="I137" t="s">
        <x:v>35</x:v>
      </x:c>
    </x:row>
    <x:row r="138">
      <x:c r="A138" t="s">
        <x:v>17</x:v>
      </x:c>
      <x:c r="B138">
        <x:v>0.52712714672088601</x:v>
      </x:c>
      <x:c r="C138" t="s">
        <x:v>23</x:v>
      </x:c>
      <x:c r="D138" t="s">
        <x:v>11</x:v>
      </x:c>
      <x:c r="E138" t="s">
        <x:v>56</x:v>
      </x:c>
      <x:c r="F138" t="s">
        <x:v>13</x:v>
      </x:c>
      <x:c r="G138" t="s">
        <x:v>14</x:v>
      </x:c>
      <x:c r="H138" t="s">
        <x:v>15</x:v>
      </x:c>
      <x:c r="I138" t="s">
        <x:v>35</x:v>
      </x:c>
    </x:row>
    <x:row r="139">
      <x:c r="A139" t="s">
        <x:v>18</x:v>
      </x:c>
      <x:c r="B139">
        <x:v>0.56001591682434004</x:v>
      </x:c>
      <x:c r="C139" t="s">
        <x:v>23</x:v>
      </x:c>
      <x:c r="D139" t="s">
        <x:v>11</x:v>
      </x:c>
      <x:c r="E139" t="s">
        <x:v>56</x:v>
      </x:c>
      <x:c r="F139" t="s">
        <x:v>13</x:v>
      </x:c>
      <x:c r="G139" t="s">
        <x:v>14</x:v>
      </x:c>
      <x:c r="H139" t="s">
        <x:v>15</x:v>
      </x:c>
      <x:c r="I139" t="s">
        <x:v>35</x:v>
      </x:c>
    </x:row>
    <x:row r="140">
      <x:c r="A140" t="s">
        <x:v>19</x:v>
      </x:c>
      <x:c r="B140">
        <x:v>0.74834211215482205</x:v>
      </x:c>
      <x:c r="C140" t="s">
        <x:v>23</x:v>
      </x:c>
      <x:c r="D140" t="s">
        <x:v>11</x:v>
      </x:c>
      <x:c r="E140" t="s">
        <x:v>56</x:v>
      </x:c>
      <x:c r="F140" t="s">
        <x:v>13</x:v>
      </x:c>
      <x:c r="G140" t="s">
        <x:v>14</x:v>
      </x:c>
      <x:c r="H140" t="s">
        <x:v>15</x:v>
      </x:c>
      <x:c r="I140" t="s">
        <x:v>35</x:v>
      </x:c>
    </x:row>
    <x:row r="141">
      <x:c r="A141" t="s">
        <x:v>20</x:v>
      </x:c>
      <x:c r="B141">
        <x:v>619595605999616</x:v>
      </x:c>
      <x:c r="C141" t="s">
        <x:v>23</x:v>
      </x:c>
      <x:c r="D141" t="s">
        <x:v>11</x:v>
      </x:c>
      <x:c r="E141" t="s">
        <x:v>56</x:v>
      </x:c>
      <x:c r="F141" t="s">
        <x:v>13</x:v>
      </x:c>
      <x:c r="G141" t="s">
        <x:v>14</x:v>
      </x:c>
      <x:c r="H141" t="s">
        <x:v>15</x:v>
      </x:c>
      <x:c r="I141" t="s">
        <x:v>35</x:v>
      </x:c>
    </x:row>
    <x:row r="142">
      <x:c r="A142" t="s">
        <x:v>9</x:v>
      </x:c>
      <x:c r="B142">
        <x:v>0.90312066816022596</x:v>
      </x:c>
      <x:c r="C142" t="s">
        <x:v>10</x:v>
      </x:c>
      <x:c r="D142" t="s">
        <x:v>11</x:v>
      </x:c>
      <x:c r="E142" t="s">
        <x:v>57</x:v>
      </x:c>
      <x:c r="F142" t="s">
        <x:v>33</x:v>
      </x:c>
      <x:c r="G142" t="s">
        <x:v>27</x:v>
      </x:c>
      <x:c r="I142" t="s">
        <x:v>58</x:v>
      </x:c>
    </x:row>
    <x:row r="143">
      <x:c r="A143" t="s">
        <x:v>17</x:v>
      </x:c>
      <x:c r="B143">
        <x:v>0.62600886821746804</x:v>
      </x:c>
      <x:c r="C143" t="s">
        <x:v>10</x:v>
      </x:c>
      <x:c r="D143" t="s">
        <x:v>11</x:v>
      </x:c>
      <x:c r="E143" t="s">
        <x:v>57</x:v>
      </x:c>
      <x:c r="F143" t="s">
        <x:v>33</x:v>
      </x:c>
      <x:c r="G143" t="s">
        <x:v>27</x:v>
      </x:c>
      <x:c r="I143" t="s">
        <x:v>58</x:v>
      </x:c>
    </x:row>
    <x:row r="144">
      <x:c r="A144" t="s">
        <x:v>18</x:v>
      </x:c>
      <x:c r="B144">
        <x:v>0.68718856573104803</x:v>
      </x:c>
      <x:c r="C144" t="s">
        <x:v>10</x:v>
      </x:c>
      <x:c r="D144" t="s">
        <x:v>11</x:v>
      </x:c>
      <x:c r="E144" t="s">
        <x:v>57</x:v>
      </x:c>
      <x:c r="F144" t="s">
        <x:v>33</x:v>
      </x:c>
      <x:c r="G144" t="s">
        <x:v>27</x:v>
      </x:c>
      <x:c r="I144" t="s">
        <x:v>58</x:v>
      </x:c>
    </x:row>
    <x:row r="145">
      <x:c r="A145" t="s">
        <x:v>19</x:v>
      </x:c>
      <x:c r="B145">
        <x:v>0.828968374385325</x:v>
      </x:c>
      <x:c r="C145" t="s">
        <x:v>10</x:v>
      </x:c>
      <x:c r="D145" t="s">
        <x:v>11</x:v>
      </x:c>
      <x:c r="E145" t="s">
        <x:v>57</x:v>
      </x:c>
      <x:c r="F145" t="s">
        <x:v>33</x:v>
      </x:c>
      <x:c r="G145" t="s">
        <x:v>27</x:v>
      </x:c>
      <x:c r="I145" t="s">
        <x:v>58</x:v>
      </x:c>
    </x:row>
    <x:row r="146">
      <x:c r="A146" t="s">
        <x:v>20</x:v>
      </x:c>
      <x:c r="B146">
        <x:v>8328670871552</x:v>
      </x:c>
      <x:c r="C146" t="s">
        <x:v>10</x:v>
      </x:c>
      <x:c r="D146" t="s">
        <x:v>11</x:v>
      </x:c>
      <x:c r="E146" t="s">
        <x:v>57</x:v>
      </x:c>
      <x:c r="F146" t="s">
        <x:v>33</x:v>
      </x:c>
      <x:c r="G146" t="s">
        <x:v>27</x:v>
      </x:c>
      <x:c r="I146" t="s">
        <x:v>58</x:v>
      </x:c>
    </x:row>
    <x:row r="147">
      <x:c r="A147" t="s">
        <x:v>9</x:v>
      </x:c>
      <x:c r="B147">
        <x:v>0.90312066816022596</x:v>
      </x:c>
      <x:c r="C147" t="s">
        <x:v>10</x:v>
      </x:c>
      <x:c r="D147" t="s">
        <x:v>21</x:v>
      </x:c>
      <x:c r="E147" t="s">
        <x:v>59</x:v>
      </x:c>
      <x:c r="F147" t="s">
        <x:v>33</x:v>
      </x:c>
      <x:c r="G147" t="s">
        <x:v>27</x:v>
      </x:c>
      <x:c r="I147" t="s">
        <x:v>58</x:v>
      </x:c>
    </x:row>
    <x:row r="148">
      <x:c r="A148" t="s">
        <x:v>17</x:v>
      </x:c>
      <x:c r="B148">
        <x:v>0.62600886821746804</x:v>
      </x:c>
      <x:c r="C148" t="s">
        <x:v>10</x:v>
      </x:c>
      <x:c r="D148" t="s">
        <x:v>21</x:v>
      </x:c>
      <x:c r="E148" t="s">
        <x:v>59</x:v>
      </x:c>
      <x:c r="F148" t="s">
        <x:v>33</x:v>
      </x:c>
      <x:c r="G148" t="s">
        <x:v>27</x:v>
      </x:c>
      <x:c r="I148" t="s">
        <x:v>58</x:v>
      </x:c>
    </x:row>
    <x:row r="149">
      <x:c r="A149" t="s">
        <x:v>18</x:v>
      </x:c>
      <x:c r="B149">
        <x:v>0.68718856573104803</x:v>
      </x:c>
      <x:c r="C149" t="s">
        <x:v>10</x:v>
      </x:c>
      <x:c r="D149" t="s">
        <x:v>21</x:v>
      </x:c>
      <x:c r="E149" t="s">
        <x:v>59</x:v>
      </x:c>
      <x:c r="F149" t="s">
        <x:v>33</x:v>
      </x:c>
      <x:c r="G149" t="s">
        <x:v>27</x:v>
      </x:c>
      <x:c r="I149" t="s">
        <x:v>58</x:v>
      </x:c>
    </x:row>
    <x:row r="150">
      <x:c r="A150" t="s">
        <x:v>19</x:v>
      </x:c>
      <x:c r="B150">
        <x:v>0.828968374385325</x:v>
      </x:c>
      <x:c r="C150" t="s">
        <x:v>10</x:v>
      </x:c>
      <x:c r="D150" t="s">
        <x:v>21</x:v>
      </x:c>
      <x:c r="E150" t="s">
        <x:v>59</x:v>
      </x:c>
      <x:c r="F150" t="s">
        <x:v>33</x:v>
      </x:c>
      <x:c r="G150" t="s">
        <x:v>27</x:v>
      </x:c>
      <x:c r="I150" t="s">
        <x:v>58</x:v>
      </x:c>
    </x:row>
    <x:row r="151">
      <x:c r="A151" t="s">
        <x:v>20</x:v>
      </x:c>
      <x:c r="B151">
        <x:v>8328670871552</x:v>
      </x:c>
      <x:c r="C151" t="s">
        <x:v>10</x:v>
      </x:c>
      <x:c r="D151" t="s">
        <x:v>21</x:v>
      </x:c>
      <x:c r="E151" t="s">
        <x:v>59</x:v>
      </x:c>
      <x:c r="F151" t="s">
        <x:v>33</x:v>
      </x:c>
      <x:c r="G151" t="s">
        <x:v>27</x:v>
      </x:c>
      <x:c r="I151" t="s">
        <x:v>58</x:v>
      </x:c>
    </x:row>
    <x:row r="152">
      <x:c r="A152" t="s">
        <x:v>9</x:v>
      </x:c>
      <x:c r="B152">
        <x:v>0.90164749196961602</x:v>
      </x:c>
      <x:c r="C152" t="s">
        <x:v>23</x:v>
      </x:c>
      <x:c r="D152" t="s">
        <x:v>21</x:v>
      </x:c>
      <x:c r="E152" t="s">
        <x:v>60</x:v>
      </x:c>
      <x:c r="F152" t="s">
        <x:v>33</x:v>
      </x:c>
      <x:c r="G152" t="s">
        <x:v>27</x:v>
      </x:c>
      <x:c r="I152" t="s">
        <x:v>58</x:v>
      </x:c>
    </x:row>
    <x:row r="153">
      <x:c r="A153" t="s">
        <x:v>17</x:v>
      </x:c>
      <x:c r="B153">
        <x:v>0.33680248260498002</x:v>
      </x:c>
      <x:c r="C153" t="s">
        <x:v>23</x:v>
      </x:c>
      <x:c r="D153" t="s">
        <x:v>21</x:v>
      </x:c>
      <x:c r="E153" t="s">
        <x:v>60</x:v>
      </x:c>
      <x:c r="F153" t="s">
        <x:v>33</x:v>
      </x:c>
      <x:c r="G153" t="s">
        <x:v>27</x:v>
      </x:c>
      <x:c r="I153" t="s">
        <x:v>58</x:v>
      </x:c>
    </x:row>
    <x:row r="154">
      <x:c r="A154" t="s">
        <x:v>18</x:v>
      </x:c>
      <x:c r="B154">
        <x:v>0.31871938705444303</x:v>
      </x:c>
      <x:c r="C154" t="s">
        <x:v>23</x:v>
      </x:c>
      <x:c r="D154" t="s">
        <x:v>21</x:v>
      </x:c>
      <x:c r="E154" t="s">
        <x:v>60</x:v>
      </x:c>
      <x:c r="F154" t="s">
        <x:v>33</x:v>
      </x:c>
      <x:c r="G154" t="s">
        <x:v>27</x:v>
      </x:c>
      <x:c r="I154" t="s">
        <x:v>58</x:v>
      </x:c>
    </x:row>
    <x:row r="155">
      <x:c r="A155" t="s">
        <x:v>19</x:v>
      </x:c>
      <x:c r="B155">
        <x:v>0.56455237760055799</x:v>
      </x:c>
      <x:c r="C155" t="s">
        <x:v>23</x:v>
      </x:c>
      <x:c r="D155" t="s">
        <x:v>21</x:v>
      </x:c>
      <x:c r="E155" t="s">
        <x:v>60</x:v>
      </x:c>
      <x:c r="F155" t="s">
        <x:v>33</x:v>
      </x:c>
      <x:c r="G155" t="s">
        <x:v>27</x:v>
      </x:c>
      <x:c r="I155" t="s">
        <x:v>58</x:v>
      </x:c>
    </x:row>
    <x:row r="156">
      <x:c r="A156" t="s">
        <x:v>20</x:v>
      </x:c>
      <x:c r="B156">
        <x:v>33796145545216</x:v>
      </x:c>
      <x:c r="C156" t="s">
        <x:v>23</x:v>
      </x:c>
      <x:c r="D156" t="s">
        <x:v>21</x:v>
      </x:c>
      <x:c r="E156" t="s">
        <x:v>60</x:v>
      </x:c>
      <x:c r="F156" t="s">
        <x:v>33</x:v>
      </x:c>
      <x:c r="G156" t="s">
        <x:v>27</x:v>
      </x:c>
      <x:c r="I156" t="s">
        <x:v>58</x:v>
      </x:c>
    </x:row>
    <x:row r="157">
      <x:c r="A157" t="s">
        <x:v>9</x:v>
      </x:c>
      <x:c r="B157">
        <x:v>0.90164749196961602</x:v>
      </x:c>
      <x:c r="C157" t="s">
        <x:v>23</x:v>
      </x:c>
      <x:c r="D157" t="s">
        <x:v>11</x:v>
      </x:c>
      <x:c r="E157" t="s">
        <x:v>61</x:v>
      </x:c>
      <x:c r="F157" t="s">
        <x:v>33</x:v>
      </x:c>
      <x:c r="G157" t="s">
        <x:v>27</x:v>
      </x:c>
      <x:c r="I157" t="s">
        <x:v>58</x:v>
      </x:c>
    </x:row>
    <x:row r="158">
      <x:c r="A158" t="s">
        <x:v>17</x:v>
      </x:c>
      <x:c r="B158">
        <x:v>0.33680248260498002</x:v>
      </x:c>
      <x:c r="C158" t="s">
        <x:v>23</x:v>
      </x:c>
      <x:c r="D158" t="s">
        <x:v>11</x:v>
      </x:c>
      <x:c r="E158" t="s">
        <x:v>61</x:v>
      </x:c>
      <x:c r="F158" t="s">
        <x:v>33</x:v>
      </x:c>
      <x:c r="G158" t="s">
        <x:v>27</x:v>
      </x:c>
      <x:c r="I158" t="s">
        <x:v>58</x:v>
      </x:c>
    </x:row>
    <x:row r="159">
      <x:c r="A159" t="s">
        <x:v>18</x:v>
      </x:c>
      <x:c r="B159">
        <x:v>0.31871938705444303</x:v>
      </x:c>
      <x:c r="C159" t="s">
        <x:v>23</x:v>
      </x:c>
      <x:c r="D159" t="s">
        <x:v>11</x:v>
      </x:c>
      <x:c r="E159" t="s">
        <x:v>61</x:v>
      </x:c>
      <x:c r="F159" t="s">
        <x:v>33</x:v>
      </x:c>
      <x:c r="G159" t="s">
        <x:v>27</x:v>
      </x:c>
      <x:c r="I159" t="s">
        <x:v>58</x:v>
      </x:c>
    </x:row>
    <x:row r="160">
      <x:c r="A160" t="s">
        <x:v>19</x:v>
      </x:c>
      <x:c r="B160">
        <x:v>0.56455237760055799</x:v>
      </x:c>
      <x:c r="C160" t="s">
        <x:v>23</x:v>
      </x:c>
      <x:c r="D160" t="s">
        <x:v>11</x:v>
      </x:c>
      <x:c r="E160" t="s">
        <x:v>61</x:v>
      </x:c>
      <x:c r="F160" t="s">
        <x:v>33</x:v>
      </x:c>
      <x:c r="G160" t="s">
        <x:v>27</x:v>
      </x:c>
      <x:c r="I160" t="s">
        <x:v>58</x:v>
      </x:c>
    </x:row>
    <x:row r="161">
      <x:c r="A161" t="s">
        <x:v>20</x:v>
      </x:c>
      <x:c r="B161">
        <x:v>33796145545216</x:v>
      </x:c>
      <x:c r="C161" t="s">
        <x:v>23</x:v>
      </x:c>
      <x:c r="D161" t="s">
        <x:v>11</x:v>
      </x:c>
      <x:c r="E161" t="s">
        <x:v>61</x:v>
      </x:c>
      <x:c r="F161" t="s">
        <x:v>33</x:v>
      </x:c>
      <x:c r="G161" t="s">
        <x:v>27</x:v>
      </x:c>
      <x:c r="I161" t="s">
        <x:v>58</x:v>
      </x:c>
    </x:row>
    <x:row r="162">
      <x:c r="A162" t="s">
        <x:v>9</x:v>
      </x:c>
      <x:c r="B162">
        <x:v>0.95781474931808697</x:v>
      </x:c>
      <x:c r="C162" t="s">
        <x:v>10</x:v>
      </x:c>
      <x:c r="D162" t="s">
        <x:v>11</x:v>
      </x:c>
      <x:c r="E162" t="s">
        <x:v>62</x:v>
      </x:c>
      <x:c r="F162" t="s">
        <x:v>13</x:v>
      </x:c>
      <x:c r="G162" t="s">
        <x:v>27</x:v>
      </x:c>
      <x:c r="I162" t="s">
        <x:v>58</x:v>
      </x:c>
    </x:row>
    <x:row r="163">
      <x:c r="A163" t="s">
        <x:v>17</x:v>
      </x:c>
      <x:c r="B163">
        <x:v>1.1687496900558401</x:v>
      </x:c>
      <x:c r="C163" t="s">
        <x:v>10</x:v>
      </x:c>
      <x:c r="D163" t="s">
        <x:v>11</x:v>
      </x:c>
      <x:c r="E163" t="s">
        <x:v>62</x:v>
      </x:c>
      <x:c r="F163" t="s">
        <x:v>13</x:v>
      </x:c>
      <x:c r="G163" t="s">
        <x:v>27</x:v>
      </x:c>
      <x:c r="I163" t="s">
        <x:v>58</x:v>
      </x:c>
    </x:row>
    <x:row r="164">
      <x:c r="A164" t="s">
        <x:v>18</x:v>
      </x:c>
      <x:c r="B164">
        <x:v>2.5567700862884499</x:v>
      </x:c>
      <x:c r="C164" t="s">
        <x:v>10</x:v>
      </x:c>
      <x:c r="D164" t="s">
        <x:v>11</x:v>
      </x:c>
      <x:c r="E164" t="s">
        <x:v>62</x:v>
      </x:c>
      <x:c r="F164" t="s">
        <x:v>13</x:v>
      </x:c>
      <x:c r="G164" t="s">
        <x:v>27</x:v>
      </x:c>
      <x:c r="I164" t="s">
        <x:v>58</x:v>
      </x:c>
    </x:row>
    <x:row r="165">
      <x:c r="A165" t="s">
        <x:v>19</x:v>
      </x:c>
      <x:c r="B165">
        <x:v>1.5989903333943101</x:v>
      </x:c>
      <x:c r="C165" t="s">
        <x:v>10</x:v>
      </x:c>
      <x:c r="D165" t="s">
        <x:v>11</x:v>
      </x:c>
      <x:c r="E165" t="s">
        <x:v>62</x:v>
      </x:c>
      <x:c r="F165" t="s">
        <x:v>13</x:v>
      </x:c>
      <x:c r="G165" t="s">
        <x:v>27</x:v>
      </x:c>
      <x:c r="I165" t="s">
        <x:v>58</x:v>
      </x:c>
    </x:row>
    <x:row r="166">
      <x:c r="A166" t="s">
        <x:v>20</x:v>
      </x:c>
      <x:c r="B166">
        <x:v>7819055071232</x:v>
      </x:c>
      <x:c r="C166" t="s">
        <x:v>10</x:v>
      </x:c>
      <x:c r="D166" t="s">
        <x:v>11</x:v>
      </x:c>
      <x:c r="E166" t="s">
        <x:v>62</x:v>
      </x:c>
      <x:c r="F166" t="s">
        <x:v>13</x:v>
      </x:c>
      <x:c r="G166" t="s">
        <x:v>27</x:v>
      </x:c>
      <x:c r="I166" t="s">
        <x:v>58</x:v>
      </x:c>
    </x:row>
    <x:row r="167">
      <x:c r="A167" t="s">
        <x:v>9</x:v>
      </x:c>
      <x:c r="B167">
        <x:v>0.95781474931808697</x:v>
      </x:c>
      <x:c r="C167" t="s">
        <x:v>10</x:v>
      </x:c>
      <x:c r="D167" t="s">
        <x:v>21</x:v>
      </x:c>
      <x:c r="E167" t="s">
        <x:v>63</x:v>
      </x:c>
      <x:c r="F167" t="s">
        <x:v>13</x:v>
      </x:c>
      <x:c r="G167" t="s">
        <x:v>27</x:v>
      </x:c>
      <x:c r="I167" t="s">
        <x:v>58</x:v>
      </x:c>
    </x:row>
    <x:row r="168">
      <x:c r="A168" t="s">
        <x:v>17</x:v>
      </x:c>
      <x:c r="B168">
        <x:v>1.1687496900558401</x:v>
      </x:c>
      <x:c r="C168" t="s">
        <x:v>10</x:v>
      </x:c>
      <x:c r="D168" t="s">
        <x:v>21</x:v>
      </x:c>
      <x:c r="E168" t="s">
        <x:v>63</x:v>
      </x:c>
      <x:c r="F168" t="s">
        <x:v>13</x:v>
      </x:c>
      <x:c r="G168" t="s">
        <x:v>27</x:v>
      </x:c>
      <x:c r="I168" t="s">
        <x:v>58</x:v>
      </x:c>
    </x:row>
    <x:row r="169">
      <x:c r="A169" t="s">
        <x:v>18</x:v>
      </x:c>
      <x:c r="B169">
        <x:v>2.5567700862884499</x:v>
      </x:c>
      <x:c r="C169" t="s">
        <x:v>10</x:v>
      </x:c>
      <x:c r="D169" t="s">
        <x:v>21</x:v>
      </x:c>
      <x:c r="E169" t="s">
        <x:v>63</x:v>
      </x:c>
      <x:c r="F169" t="s">
        <x:v>13</x:v>
      </x:c>
      <x:c r="G169" t="s">
        <x:v>27</x:v>
      </x:c>
      <x:c r="I169" t="s">
        <x:v>58</x:v>
      </x:c>
    </x:row>
    <x:row r="170">
      <x:c r="A170" t="s">
        <x:v>19</x:v>
      </x:c>
      <x:c r="B170">
        <x:v>1.5989903333943101</x:v>
      </x:c>
      <x:c r="C170" t="s">
        <x:v>10</x:v>
      </x:c>
      <x:c r="D170" t="s">
        <x:v>21</x:v>
      </x:c>
      <x:c r="E170" t="s">
        <x:v>63</x:v>
      </x:c>
      <x:c r="F170" t="s">
        <x:v>13</x:v>
      </x:c>
      <x:c r="G170" t="s">
        <x:v>27</x:v>
      </x:c>
      <x:c r="I170" t="s">
        <x:v>58</x:v>
      </x:c>
    </x:row>
    <x:row r="171">
      <x:c r="A171" t="s">
        <x:v>20</x:v>
      </x:c>
      <x:c r="B171">
        <x:v>7819055071232</x:v>
      </x:c>
      <x:c r="C171" t="s">
        <x:v>10</x:v>
      </x:c>
      <x:c r="D171" t="s">
        <x:v>21</x:v>
      </x:c>
      <x:c r="E171" t="s">
        <x:v>63</x:v>
      </x:c>
      <x:c r="F171" t="s">
        <x:v>13</x:v>
      </x:c>
      <x:c r="G171" t="s">
        <x:v>27</x:v>
      </x:c>
      <x:c r="I171" t="s">
        <x:v>58</x:v>
      </x:c>
    </x:row>
    <x:row r="172">
      <x:c r="A172" t="s">
        <x:v>9</x:v>
      </x:c>
      <x:c r="B172">
        <x:v>0.91061234027343796</x:v>
      </x:c>
      <x:c r="C172" t="s">
        <x:v>23</x:v>
      </x:c>
      <x:c r="D172" t="s">
        <x:v>21</x:v>
      </x:c>
      <x:c r="E172" t="s">
        <x:v>64</x:v>
      </x:c>
      <x:c r="F172" t="s">
        <x:v>13</x:v>
      </x:c>
      <x:c r="G172" t="s">
        <x:v>27</x:v>
      </x:c>
      <x:c r="I172" t="s">
        <x:v>58</x:v>
      </x:c>
    </x:row>
    <x:row r="173">
      <x:c r="A173" t="s">
        <x:v>17</x:v>
      </x:c>
      <x:c r="B173">
        <x:v>0.28120467066764798</x:v>
      </x:c>
      <x:c r="C173" t="s">
        <x:v>23</x:v>
      </x:c>
      <x:c r="D173" t="s">
        <x:v>21</x:v>
      </x:c>
      <x:c r="E173" t="s">
        <x:v>64</x:v>
      </x:c>
      <x:c r="F173" t="s">
        <x:v>13</x:v>
      </x:c>
      <x:c r="G173" t="s">
        <x:v>27</x:v>
      </x:c>
      <x:c r="I173" t="s">
        <x:v>58</x:v>
      </x:c>
    </x:row>
    <x:row r="174">
      <x:c r="A174" t="s">
        <x:v>18</x:v>
      </x:c>
      <x:c r="B174">
        <x:v>0.233881786465644</x:v>
      </x:c>
      <x:c r="C174" t="s">
        <x:v>23</x:v>
      </x:c>
      <x:c r="D174" t="s">
        <x:v>21</x:v>
      </x:c>
      <x:c r="E174" t="s">
        <x:v>64</x:v>
      </x:c>
      <x:c r="F174" t="s">
        <x:v>13</x:v>
      </x:c>
      <x:c r="G174" t="s">
        <x:v>27</x:v>
      </x:c>
      <x:c r="I174" t="s">
        <x:v>58</x:v>
      </x:c>
    </x:row>
    <x:row r="175">
      <x:c r="A175" t="s">
        <x:v>19</x:v>
      </x:c>
      <x:c r="B175">
        <x:v>0.483613261259081</x:v>
      </x:c>
      <x:c r="C175" t="s">
        <x:v>23</x:v>
      </x:c>
      <x:c r="D175" t="s">
        <x:v>21</x:v>
      </x:c>
      <x:c r="E175" t="s">
        <x:v>64</x:v>
      </x:c>
      <x:c r="F175" t="s">
        <x:v>13</x:v>
      </x:c>
      <x:c r="G175" t="s">
        <x:v>27</x:v>
      </x:c>
      <x:c r="I175" t="s">
        <x:v>58</x:v>
      </x:c>
    </x:row>
    <x:row r="176">
      <x:c r="A176" t="s">
        <x:v>20</x:v>
      </x:c>
      <x:c r="B176">
        <x:v>132367612116992</x:v>
      </x:c>
      <x:c r="C176" t="s">
        <x:v>23</x:v>
      </x:c>
      <x:c r="D176" t="s">
        <x:v>21</x:v>
      </x:c>
      <x:c r="E176" t="s">
        <x:v>64</x:v>
      </x:c>
      <x:c r="F176" t="s">
        <x:v>13</x:v>
      </x:c>
      <x:c r="G176" t="s">
        <x:v>27</x:v>
      </x:c>
      <x:c r="I176" t="s">
        <x:v>58</x:v>
      </x:c>
    </x:row>
    <x:row r="177">
      <x:c r="A177" t="s">
        <x:v>9</x:v>
      </x:c>
      <x:c r="B177">
        <x:v>0.91061234027343796</x:v>
      </x:c>
      <x:c r="C177" t="s">
        <x:v>23</x:v>
      </x:c>
      <x:c r="D177" t="s">
        <x:v>11</x:v>
      </x:c>
      <x:c r="E177" t="s">
        <x:v>65</x:v>
      </x:c>
      <x:c r="F177" t="s">
        <x:v>13</x:v>
      </x:c>
      <x:c r="G177" t="s">
        <x:v>27</x:v>
      </x:c>
      <x:c r="I177" t="s">
        <x:v>58</x:v>
      </x:c>
    </x:row>
    <x:row r="178">
      <x:c r="A178" t="s">
        <x:v>17</x:v>
      </x:c>
      <x:c r="B178">
        <x:v>0.28120467066764798</x:v>
      </x:c>
      <x:c r="C178" t="s">
        <x:v>23</x:v>
      </x:c>
      <x:c r="D178" t="s">
        <x:v>11</x:v>
      </x:c>
      <x:c r="E178" t="s">
        <x:v>65</x:v>
      </x:c>
      <x:c r="F178" t="s">
        <x:v>13</x:v>
      </x:c>
      <x:c r="G178" t="s">
        <x:v>27</x:v>
      </x:c>
      <x:c r="I178" t="s">
        <x:v>58</x:v>
      </x:c>
    </x:row>
    <x:row r="179">
      <x:c r="A179" t="s">
        <x:v>18</x:v>
      </x:c>
      <x:c r="B179">
        <x:v>0.233881786465644</x:v>
      </x:c>
      <x:c r="C179" t="s">
        <x:v>23</x:v>
      </x:c>
      <x:c r="D179" t="s">
        <x:v>11</x:v>
      </x:c>
      <x:c r="E179" t="s">
        <x:v>65</x:v>
      </x:c>
      <x:c r="F179" t="s">
        <x:v>13</x:v>
      </x:c>
      <x:c r="G179" t="s">
        <x:v>27</x:v>
      </x:c>
      <x:c r="I179" t="s">
        <x:v>58</x:v>
      </x:c>
    </x:row>
    <x:row r="180">
      <x:c r="A180" t="s">
        <x:v>19</x:v>
      </x:c>
      <x:c r="B180">
        <x:v>0.483613261259081</x:v>
      </x:c>
      <x:c r="C180" t="s">
        <x:v>23</x:v>
      </x:c>
      <x:c r="D180" t="s">
        <x:v>11</x:v>
      </x:c>
      <x:c r="E180" t="s">
        <x:v>65</x:v>
      </x:c>
      <x:c r="F180" t="s">
        <x:v>13</x:v>
      </x:c>
      <x:c r="G180" t="s">
        <x:v>27</x:v>
      </x:c>
      <x:c r="I180" t="s">
        <x:v>58</x:v>
      </x:c>
    </x:row>
    <x:row r="181">
      <x:c r="A181" t="s">
        <x:v>20</x:v>
      </x:c>
      <x:c r="B181">
        <x:v>132367612116992</x:v>
      </x:c>
      <x:c r="C181" t="s">
        <x:v>23</x:v>
      </x:c>
      <x:c r="D181" t="s">
        <x:v>11</x:v>
      </x:c>
      <x:c r="E181" t="s">
        <x:v>65</x:v>
      </x:c>
      <x:c r="F181" t="s">
        <x:v>13</x:v>
      </x:c>
      <x:c r="G181" t="s">
        <x:v>27</x:v>
      </x:c>
      <x:c r="I181" t="s">
        <x:v>58</x:v>
      </x:c>
    </x:row>
    <x:row r="182">
      <x:c r="A182" t="s">
        <x:v>9</x:v>
      </x:c>
      <x:c r="B182">
        <x:v>0.96043615557565698</x:v>
      </x:c>
      <x:c r="C182" t="s">
        <x:v>10</x:v>
      </x:c>
      <x:c r="D182" t="s">
        <x:v>11</x:v>
      </x:c>
      <x:c r="E182" t="s">
        <x:v>66</x:v>
      </x:c>
      <x:c r="F182" t="s">
        <x:v>13</x:v>
      </x:c>
      <x:c r="G182" t="s">
        <x:v>27</x:v>
      </x:c>
      <x:c r="H182" t="s">
        <x:v>15</x:v>
      </x:c>
      <x:c r="I182" t="s">
        <x:v>16</x:v>
      </x:c>
    </x:row>
    <x:row r="183">
      <x:c r="A183" t="s">
        <x:v>17</x:v>
      </x:c>
      <x:c r="B183">
        <x:v>6.8266049027442904E-2</x:v>
      </x:c>
      <x:c r="C183" t="s">
        <x:v>10</x:v>
      </x:c>
      <x:c r="D183" t="s">
        <x:v>11</x:v>
      </x:c>
      <x:c r="E183" t="s">
        <x:v>66</x:v>
      </x:c>
      <x:c r="F183" t="s">
        <x:v>13</x:v>
      </x:c>
      <x:c r="G183" t="s">
        <x:v>27</x:v>
      </x:c>
      <x:c r="H183" t="s">
        <x:v>15</x:v>
      </x:c>
      <x:c r="I183" t="s">
        <x:v>16</x:v>
      </x:c>
    </x:row>
    <x:row r="184">
      <x:c r="A184" t="s">
        <x:v>18</x:v>
      </x:c>
      <x:c r="B184">
        <x:v>1.4637680724263099E-2</x:v>
      </x:c>
      <x:c r="C184" t="s">
        <x:v>10</x:v>
      </x:c>
      <x:c r="D184" t="s">
        <x:v>11</x:v>
      </x:c>
      <x:c r="E184" t="s">
        <x:v>66</x:v>
      </x:c>
      <x:c r="F184" t="s">
        <x:v>13</x:v>
      </x:c>
      <x:c r="G184" t="s">
        <x:v>27</x:v>
      </x:c>
      <x:c r="H184" t="s">
        <x:v>15</x:v>
      </x:c>
      <x:c r="I184" t="s">
        <x:v>16</x:v>
      </x:c>
    </x:row>
    <x:row r="185">
      <x:c r="A185" t="s">
        <x:v>19</x:v>
      </x:c>
      <x:c r="B185">
        <x:v>0.12098628320707699</x:v>
      </x:c>
      <x:c r="C185" t="s">
        <x:v>10</x:v>
      </x:c>
      <x:c r="D185" t="s">
        <x:v>11</x:v>
      </x:c>
      <x:c r="E185" t="s">
        <x:v>66</x:v>
      </x:c>
      <x:c r="F185" t="s">
        <x:v>13</x:v>
      </x:c>
      <x:c r="G185" t="s">
        <x:v>27</x:v>
      </x:c>
      <x:c r="H185" t="s">
        <x:v>15</x:v>
      </x:c>
      <x:c r="I185" t="s">
        <x:v>16</x:v>
      </x:c>
    </x:row>
    <x:row r="186">
      <x:c r="A186" t="s">
        <x:v>20</x:v>
      </x:c>
      <x:c r="B186">
        <x:v>34082167717888</x:v>
      </x:c>
      <x:c r="C186" t="s">
        <x:v>10</x:v>
      </x:c>
      <x:c r="D186" t="s">
        <x:v>11</x:v>
      </x:c>
      <x:c r="E186" t="s">
        <x:v>66</x:v>
      </x:c>
      <x:c r="F186" t="s">
        <x:v>13</x:v>
      </x:c>
      <x:c r="G186" t="s">
        <x:v>27</x:v>
      </x:c>
      <x:c r="H186" t="s">
        <x:v>15</x:v>
      </x:c>
      <x:c r="I186" t="s">
        <x:v>16</x:v>
      </x:c>
    </x:row>
    <x:row r="187">
      <x:c r="A187" t="s">
        <x:v>9</x:v>
      </x:c>
      <x:c r="B187">
        <x:v>0.96043615557565698</x:v>
      </x:c>
      <x:c r="C187" t="s">
        <x:v>10</x:v>
      </x:c>
      <x:c r="D187" t="s">
        <x:v>21</x:v>
      </x:c>
      <x:c r="E187" t="s">
        <x:v>67</x:v>
      </x:c>
      <x:c r="F187" t="s">
        <x:v>13</x:v>
      </x:c>
      <x:c r="G187" t="s">
        <x:v>27</x:v>
      </x:c>
      <x:c r="H187" t="s">
        <x:v>15</x:v>
      </x:c>
      <x:c r="I187" t="s">
        <x:v>16</x:v>
      </x:c>
    </x:row>
    <x:row r="188">
      <x:c r="A188" t="s">
        <x:v>17</x:v>
      </x:c>
      <x:c r="B188">
        <x:v>6.8266049027442904E-2</x:v>
      </x:c>
      <x:c r="C188" t="s">
        <x:v>10</x:v>
      </x:c>
      <x:c r="D188" t="s">
        <x:v>21</x:v>
      </x:c>
      <x:c r="E188" t="s">
        <x:v>67</x:v>
      </x:c>
      <x:c r="F188" t="s">
        <x:v>13</x:v>
      </x:c>
      <x:c r="G188" t="s">
        <x:v>27</x:v>
      </x:c>
      <x:c r="H188" t="s">
        <x:v>15</x:v>
      </x:c>
      <x:c r="I188" t="s">
        <x:v>16</x:v>
      </x:c>
    </x:row>
    <x:row r="189">
      <x:c r="A189" t="s">
        <x:v>18</x:v>
      </x:c>
      <x:c r="B189">
        <x:v>1.4637680724263099E-2</x:v>
      </x:c>
      <x:c r="C189" t="s">
        <x:v>10</x:v>
      </x:c>
      <x:c r="D189" t="s">
        <x:v>21</x:v>
      </x:c>
      <x:c r="E189" t="s">
        <x:v>67</x:v>
      </x:c>
      <x:c r="F189" t="s">
        <x:v>13</x:v>
      </x:c>
      <x:c r="G189" t="s">
        <x:v>27</x:v>
      </x:c>
      <x:c r="H189" t="s">
        <x:v>15</x:v>
      </x:c>
      <x:c r="I189" t="s">
        <x:v>16</x:v>
      </x:c>
    </x:row>
    <x:row r="190">
      <x:c r="A190" t="s">
        <x:v>19</x:v>
      </x:c>
      <x:c r="B190">
        <x:v>0.12098628320707699</x:v>
      </x:c>
      <x:c r="C190" t="s">
        <x:v>10</x:v>
      </x:c>
      <x:c r="D190" t="s">
        <x:v>21</x:v>
      </x:c>
      <x:c r="E190" t="s">
        <x:v>67</x:v>
      </x:c>
      <x:c r="F190" t="s">
        <x:v>13</x:v>
      </x:c>
      <x:c r="G190" t="s">
        <x:v>27</x:v>
      </x:c>
      <x:c r="H190" t="s">
        <x:v>15</x:v>
      </x:c>
      <x:c r="I190" t="s">
        <x:v>16</x:v>
      </x:c>
    </x:row>
    <x:row r="191">
      <x:c r="A191" t="s">
        <x:v>20</x:v>
      </x:c>
      <x:c r="B191">
        <x:v>34082167717888</x:v>
      </x:c>
      <x:c r="C191" t="s">
        <x:v>10</x:v>
      </x:c>
      <x:c r="D191" t="s">
        <x:v>21</x:v>
      </x:c>
      <x:c r="E191" t="s">
        <x:v>67</x:v>
      </x:c>
      <x:c r="F191" t="s">
        <x:v>13</x:v>
      </x:c>
      <x:c r="G191" t="s">
        <x:v>27</x:v>
      </x:c>
      <x:c r="H191" t="s">
        <x:v>15</x:v>
      </x:c>
      <x:c r="I191" t="s">
        <x:v>16</x:v>
      </x:c>
    </x:row>
    <x:row r="192">
      <x:c r="A192" t="s">
        <x:v>9</x:v>
      </x:c>
      <x:c r="B192">
        <x:v>0.90203186498691001</x:v>
      </x:c>
      <x:c r="C192" t="s">
        <x:v>23</x:v>
      </x:c>
      <x:c r="D192" t="s">
        <x:v>21</x:v>
      </x:c>
      <x:c r="E192" t="s">
        <x:v>68</x:v>
      </x:c>
      <x:c r="F192" t="s">
        <x:v>13</x:v>
      </x:c>
      <x:c r="G192" t="s">
        <x:v>27</x:v>
      </x:c>
      <x:c r="H192" t="s">
        <x:v>15</x:v>
      </x:c>
      <x:c r="I192" t="s">
        <x:v>16</x:v>
      </x:c>
    </x:row>
    <x:row r="193">
      <x:c r="A193" t="s">
        <x:v>17</x:v>
      </x:c>
      <x:c r="B193">
        <x:v>0.267965197563171</x:v>
      </x:c>
      <x:c r="C193" t="s">
        <x:v>23</x:v>
      </x:c>
      <x:c r="D193" t="s">
        <x:v>21</x:v>
      </x:c>
      <x:c r="E193" t="s">
        <x:v>68</x:v>
      </x:c>
      <x:c r="F193" t="s">
        <x:v>13</x:v>
      </x:c>
      <x:c r="G193" t="s">
        <x:v>27</x:v>
      </x:c>
      <x:c r="H193" t="s">
        <x:v>15</x:v>
      </x:c>
      <x:c r="I193" t="s">
        <x:v>16</x:v>
      </x:c>
    </x:row>
    <x:row r="194">
      <x:c r="A194" t="s">
        <x:v>18</x:v>
      </x:c>
      <x:c r="B194">
        <x:v>0.27748465538024902</x:v>
      </x:c>
      <x:c r="C194" t="s">
        <x:v>23</x:v>
      </x:c>
      <x:c r="D194" t="s">
        <x:v>21</x:v>
      </x:c>
      <x:c r="E194" t="s">
        <x:v>68</x:v>
      </x:c>
      <x:c r="F194" t="s">
        <x:v>13</x:v>
      </x:c>
      <x:c r="G194" t="s">
        <x:v>27</x:v>
      </x:c>
      <x:c r="H194" t="s">
        <x:v>15</x:v>
      </x:c>
      <x:c r="I194" t="s">
        <x:v>16</x:v>
      </x:c>
    </x:row>
    <x:row r="195">
      <x:c r="A195" t="s">
        <x:v>19</x:v>
      </x:c>
      <x:c r="B195">
        <x:v>0.52676812297276399</x:v>
      </x:c>
      <x:c r="C195" t="s">
        <x:v>23</x:v>
      </x:c>
      <x:c r="D195" t="s">
        <x:v>21</x:v>
      </x:c>
      <x:c r="E195" t="s">
        <x:v>68</x:v>
      </x:c>
      <x:c r="F195" t="s">
        <x:v>13</x:v>
      </x:c>
      <x:c r="G195" t="s">
        <x:v>27</x:v>
      </x:c>
      <x:c r="H195" t="s">
        <x:v>15</x:v>
      </x:c>
      <x:c r="I195" t="s">
        <x:v>16</x:v>
      </x:c>
    </x:row>
    <x:row r="196">
      <x:c r="A196" t="s">
        <x:v>20</x:v>
      </x:c>
      <x:c r="B196">
        <x:v>119022880292864</x:v>
      </x:c>
      <x:c r="C196" t="s">
        <x:v>23</x:v>
      </x:c>
      <x:c r="D196" t="s">
        <x:v>21</x:v>
      </x:c>
      <x:c r="E196" t="s">
        <x:v>68</x:v>
      </x:c>
      <x:c r="F196" t="s">
        <x:v>13</x:v>
      </x:c>
      <x:c r="G196" t="s">
        <x:v>27</x:v>
      </x:c>
      <x:c r="H196" t="s">
        <x:v>15</x:v>
      </x:c>
      <x:c r="I196" t="s">
        <x:v>16</x:v>
      </x:c>
    </x:row>
    <x:row r="197">
      <x:c r="A197" t="s">
        <x:v>9</x:v>
      </x:c>
      <x:c r="B197">
        <x:v>0.90203186498691001</x:v>
      </x:c>
      <x:c r="C197" t="s">
        <x:v>23</x:v>
      </x:c>
      <x:c r="D197" t="s">
        <x:v>11</x:v>
      </x:c>
      <x:c r="E197" t="s">
        <x:v>69</x:v>
      </x:c>
      <x:c r="F197" t="s">
        <x:v>13</x:v>
      </x:c>
      <x:c r="G197" t="s">
        <x:v>27</x:v>
      </x:c>
      <x:c r="H197" t="s">
        <x:v>15</x:v>
      </x:c>
      <x:c r="I197" t="s">
        <x:v>16</x:v>
      </x:c>
    </x:row>
    <x:row r="198">
      <x:c r="A198" t="s">
        <x:v>17</x:v>
      </x:c>
      <x:c r="B198">
        <x:v>0.267965197563171</x:v>
      </x:c>
      <x:c r="C198" t="s">
        <x:v>23</x:v>
      </x:c>
      <x:c r="D198" t="s">
        <x:v>11</x:v>
      </x:c>
      <x:c r="E198" t="s">
        <x:v>69</x:v>
      </x:c>
      <x:c r="F198" t="s">
        <x:v>13</x:v>
      </x:c>
      <x:c r="G198" t="s">
        <x:v>27</x:v>
      </x:c>
      <x:c r="H198" t="s">
        <x:v>15</x:v>
      </x:c>
      <x:c r="I198" t="s">
        <x:v>16</x:v>
      </x:c>
    </x:row>
    <x:row r="199">
      <x:c r="A199" t="s">
        <x:v>18</x:v>
      </x:c>
      <x:c r="B199">
        <x:v>0.27748465538024902</x:v>
      </x:c>
      <x:c r="C199" t="s">
        <x:v>23</x:v>
      </x:c>
      <x:c r="D199" t="s">
        <x:v>11</x:v>
      </x:c>
      <x:c r="E199" t="s">
        <x:v>69</x:v>
      </x:c>
      <x:c r="F199" t="s">
        <x:v>13</x:v>
      </x:c>
      <x:c r="G199" t="s">
        <x:v>27</x:v>
      </x:c>
      <x:c r="H199" t="s">
        <x:v>15</x:v>
      </x:c>
      <x:c r="I199" t="s">
        <x:v>16</x:v>
      </x:c>
    </x:row>
    <x:row r="200">
      <x:c r="A200" t="s">
        <x:v>19</x:v>
      </x:c>
      <x:c r="B200">
        <x:v>0.52676812297276399</x:v>
      </x:c>
      <x:c r="C200" t="s">
        <x:v>23</x:v>
      </x:c>
      <x:c r="D200" t="s">
        <x:v>11</x:v>
      </x:c>
      <x:c r="E200" t="s">
        <x:v>69</x:v>
      </x:c>
      <x:c r="F200" t="s">
        <x:v>13</x:v>
      </x:c>
      <x:c r="G200" t="s">
        <x:v>27</x:v>
      </x:c>
      <x:c r="H200" t="s">
        <x:v>15</x:v>
      </x:c>
      <x:c r="I200" t="s">
        <x:v>16</x:v>
      </x:c>
    </x:row>
    <x:row r="201">
      <x:c r="A201" t="s">
        <x:v>20</x:v>
      </x:c>
      <x:c r="B201">
        <x:v>119022880292864</x:v>
      </x:c>
      <x:c r="C201" t="s">
        <x:v>23</x:v>
      </x:c>
      <x:c r="D201" t="s">
        <x:v>11</x:v>
      </x:c>
      <x:c r="E201" t="s">
        <x:v>69</x:v>
      </x:c>
      <x:c r="F201" t="s">
        <x:v>13</x:v>
      </x:c>
      <x:c r="G201" t="s">
        <x:v>27</x:v>
      </x:c>
      <x:c r="H201" t="s">
        <x:v>15</x:v>
      </x:c>
      <x:c r="I201" t="s">
        <x:v>16</x:v>
      </x:c>
    </x:row>
    <x:row r="202">
      <x:c r="A202" t="s">
        <x:v>9</x:v>
      </x:c>
      <x:c r="B202">
        <x:v>0.96434262600329901</x:v>
      </x:c>
      <x:c r="C202" t="s">
        <x:v>10</x:v>
      </x:c>
      <x:c r="D202" t="s">
        <x:v>11</x:v>
      </x:c>
      <x:c r="E202" t="s">
        <x:v>70</x:v>
      </x:c>
      <x:c r="F202" t="s">
        <x:v>13</x:v>
      </x:c>
      <x:c r="G202" t="s">
        <x:v>14</x:v>
      </x:c>
      <x:c r="H202" t="s">
        <x:v>15</x:v>
      </x:c>
      <x:c r="I202" t="s">
        <x:v>40</x:v>
      </x:c>
    </x:row>
    <x:row r="203">
      <x:c r="A203" t="s">
        <x:v>17</x:v>
      </x:c>
      <x:c r="B203">
        <x:v>3.5499572753906201E-2</x:v>
      </x:c>
      <x:c r="C203" t="s">
        <x:v>10</x:v>
      </x:c>
      <x:c r="D203" t="s">
        <x:v>11</x:v>
      </x:c>
      <x:c r="E203" t="s">
        <x:v>70</x:v>
      </x:c>
      <x:c r="F203" t="s">
        <x:v>13</x:v>
      </x:c>
      <x:c r="G203" t="s">
        <x:v>14</x:v>
      </x:c>
      <x:c r="H203" t="s">
        <x:v>15</x:v>
      </x:c>
      <x:c r="I203" t="s">
        <x:v>40</x:v>
      </x:c>
    </x:row>
    <x:row r="204">
      <x:c r="A204" t="s">
        <x:v>18</x:v>
      </x:c>
      <x:c r="B204">
        <x:v>6.1820568516850402E-3</x:v>
      </x:c>
      <x:c r="C204" t="s">
        <x:v>10</x:v>
      </x:c>
      <x:c r="D204" t="s">
        <x:v>11</x:v>
      </x:c>
      <x:c r="E204" t="s">
        <x:v>70</x:v>
      </x:c>
      <x:c r="F204" t="s">
        <x:v>13</x:v>
      </x:c>
      <x:c r="G204" t="s">
        <x:v>14</x:v>
      </x:c>
      <x:c r="H204" t="s">
        <x:v>15</x:v>
      </x:c>
      <x:c r="I204" t="s">
        <x:v>40</x:v>
      </x:c>
    </x:row>
    <x:row r="205">
      <x:c r="A205" t="s">
        <x:v>19</x:v>
      </x:c>
      <x:c r="B205">
        <x:v>7.8626057078331493E-2</x:v>
      </x:c>
      <x:c r="C205" t="s">
        <x:v>10</x:v>
      </x:c>
      <x:c r="D205" t="s">
        <x:v>11</x:v>
      </x:c>
      <x:c r="E205" t="s">
        <x:v>70</x:v>
      </x:c>
      <x:c r="F205" t="s">
        <x:v>13</x:v>
      </x:c>
      <x:c r="G205" t="s">
        <x:v>14</x:v>
      </x:c>
      <x:c r="H205" t="s">
        <x:v>15</x:v>
      </x:c>
      <x:c r="I205" t="s">
        <x:v>40</x:v>
      </x:c>
    </x:row>
    <x:row r="206">
      <x:c r="A206" t="s">
        <x:v>20</x:v>
      </x:c>
      <x:c r="B206">
        <x:v>21405288628224</x:v>
      </x:c>
      <x:c r="C206" t="s">
        <x:v>10</x:v>
      </x:c>
      <x:c r="D206" t="s">
        <x:v>11</x:v>
      </x:c>
      <x:c r="E206" t="s">
        <x:v>70</x:v>
      </x:c>
      <x:c r="F206" t="s">
        <x:v>13</x:v>
      </x:c>
      <x:c r="G206" t="s">
        <x:v>14</x:v>
      </x:c>
      <x:c r="H206" t="s">
        <x:v>15</x:v>
      </x:c>
      <x:c r="I206" t="s">
        <x:v>40</x:v>
      </x:c>
    </x:row>
    <x:row r="207">
      <x:c r="A207" t="s">
        <x:v>9</x:v>
      </x:c>
      <x:c r="B207">
        <x:v>0.96434262600329901</x:v>
      </x:c>
      <x:c r="C207" t="s">
        <x:v>10</x:v>
      </x:c>
      <x:c r="D207" t="s">
        <x:v>21</x:v>
      </x:c>
      <x:c r="E207" t="s">
        <x:v>71</x:v>
      </x:c>
      <x:c r="F207" t="s">
        <x:v>13</x:v>
      </x:c>
      <x:c r="G207" t="s">
        <x:v>14</x:v>
      </x:c>
      <x:c r="H207" t="s">
        <x:v>15</x:v>
      </x:c>
      <x:c r="I207" t="s">
        <x:v>40</x:v>
      </x:c>
    </x:row>
    <x:row r="208">
      <x:c r="A208" t="s">
        <x:v>17</x:v>
      </x:c>
      <x:c r="B208">
        <x:v>3.5499572753906201E-2</x:v>
      </x:c>
      <x:c r="C208" t="s">
        <x:v>10</x:v>
      </x:c>
      <x:c r="D208" t="s">
        <x:v>21</x:v>
      </x:c>
      <x:c r="E208" t="s">
        <x:v>71</x:v>
      </x:c>
      <x:c r="F208" t="s">
        <x:v>13</x:v>
      </x:c>
      <x:c r="G208" t="s">
        <x:v>14</x:v>
      </x:c>
      <x:c r="H208" t="s">
        <x:v>15</x:v>
      </x:c>
      <x:c r="I208" t="s">
        <x:v>40</x:v>
      </x:c>
    </x:row>
    <x:row r="209">
      <x:c r="A209" t="s">
        <x:v>18</x:v>
      </x:c>
      <x:c r="B209">
        <x:v>6.1820568516850402E-3</x:v>
      </x:c>
      <x:c r="C209" t="s">
        <x:v>10</x:v>
      </x:c>
      <x:c r="D209" t="s">
        <x:v>21</x:v>
      </x:c>
      <x:c r="E209" t="s">
        <x:v>71</x:v>
      </x:c>
      <x:c r="F209" t="s">
        <x:v>13</x:v>
      </x:c>
      <x:c r="G209" t="s">
        <x:v>14</x:v>
      </x:c>
      <x:c r="H209" t="s">
        <x:v>15</x:v>
      </x:c>
      <x:c r="I209" t="s">
        <x:v>40</x:v>
      </x:c>
    </x:row>
    <x:row r="210">
      <x:c r="A210" t="s">
        <x:v>19</x:v>
      </x:c>
      <x:c r="B210">
        <x:v>7.8626057078331493E-2</x:v>
      </x:c>
      <x:c r="C210" t="s">
        <x:v>10</x:v>
      </x:c>
      <x:c r="D210" t="s">
        <x:v>21</x:v>
      </x:c>
      <x:c r="E210" t="s">
        <x:v>71</x:v>
      </x:c>
      <x:c r="F210" t="s">
        <x:v>13</x:v>
      </x:c>
      <x:c r="G210" t="s">
        <x:v>14</x:v>
      </x:c>
      <x:c r="H210" t="s">
        <x:v>15</x:v>
      </x:c>
      <x:c r="I210" t="s">
        <x:v>40</x:v>
      </x:c>
    </x:row>
    <x:row r="211">
      <x:c r="A211" t="s">
        <x:v>20</x:v>
      </x:c>
      <x:c r="B211">
        <x:v>21405288628224</x:v>
      </x:c>
      <x:c r="C211" t="s">
        <x:v>10</x:v>
      </x:c>
      <x:c r="D211" t="s">
        <x:v>21</x:v>
      </x:c>
      <x:c r="E211" t="s">
        <x:v>71</x:v>
      </x:c>
      <x:c r="F211" t="s">
        <x:v>13</x:v>
      </x:c>
      <x:c r="G211" t="s">
        <x:v>14</x:v>
      </x:c>
      <x:c r="H211" t="s">
        <x:v>15</x:v>
      </x:c>
      <x:c r="I211" t="s">
        <x:v>40</x:v>
      </x:c>
    </x:row>
    <x:row r="212">
      <x:c r="A212" t="s">
        <x:v>9</x:v>
      </x:c>
      <x:c r="B212">
        <x:v>0.792919388848079</x:v>
      </x:c>
      <x:c r="C212" t="s">
        <x:v>23</x:v>
      </x:c>
      <x:c r="D212" t="s">
        <x:v>21</x:v>
      </x:c>
      <x:c r="E212" t="s">
        <x:v>72</x:v>
      </x:c>
      <x:c r="F212" t="s">
        <x:v>13</x:v>
      </x:c>
      <x:c r="G212" t="s">
        <x:v>14</x:v>
      </x:c>
      <x:c r="H212" t="s">
        <x:v>15</x:v>
      </x:c>
      <x:c r="I212" t="s">
        <x:v>40</x:v>
      </x:c>
    </x:row>
    <x:row r="213">
      <x:c r="A213" t="s">
        <x:v>17</x:v>
      </x:c>
      <x:c r="B213">
        <x:v>0.30041268467903098</x:v>
      </x:c>
      <x:c r="C213" t="s">
        <x:v>23</x:v>
      </x:c>
      <x:c r="D213" t="s">
        <x:v>21</x:v>
      </x:c>
      <x:c r="E213" t="s">
        <x:v>72</x:v>
      </x:c>
      <x:c r="F213" t="s">
        <x:v>13</x:v>
      </x:c>
      <x:c r="G213" t="s">
        <x:v>14</x:v>
      </x:c>
      <x:c r="H213" t="s">
        <x:v>15</x:v>
      </x:c>
      <x:c r="I213" t="s">
        <x:v>40</x:v>
      </x:c>
    </x:row>
    <x:row r="214">
      <x:c r="A214" t="s">
        <x:v>18</x:v>
      </x:c>
      <x:c r="B214">
        <x:v>0.30587267875671298</x:v>
      </x:c>
      <x:c r="C214" t="s">
        <x:v>23</x:v>
      </x:c>
      <x:c r="D214" t="s">
        <x:v>21</x:v>
      </x:c>
      <x:c r="E214" t="s">
        <x:v>72</x:v>
      </x:c>
      <x:c r="F214" t="s">
        <x:v>13</x:v>
      </x:c>
      <x:c r="G214" t="s">
        <x:v>14</x:v>
      </x:c>
      <x:c r="H214" t="s">
        <x:v>15</x:v>
      </x:c>
      <x:c r="I214" t="s">
        <x:v>40</x:v>
      </x:c>
    </x:row>
    <x:row r="215">
      <x:c r="A215" t="s">
        <x:v>19</x:v>
      </x:c>
      <x:c r="B215">
        <x:v>0.55305757273245404</x:v>
      </x:c>
      <x:c r="C215" t="s">
        <x:v>23</x:v>
      </x:c>
      <x:c r="D215" t="s">
        <x:v>21</x:v>
      </x:c>
      <x:c r="E215" t="s">
        <x:v>72</x:v>
      </x:c>
      <x:c r="F215" t="s">
        <x:v>13</x:v>
      </x:c>
      <x:c r="G215" t="s">
        <x:v>14</x:v>
      </x:c>
      <x:c r="H215" t="s">
        <x:v>15</x:v>
      </x:c>
      <x:c r="I215" t="s">
        <x:v>40</x:v>
      </x:c>
    </x:row>
    <x:row r="216">
      <x:c r="A216" t="s">
        <x:v>20</x:v>
      </x:c>
      <x:c r="B216">
        <x:v>147563651006464</x:v>
      </x:c>
      <x:c r="C216" t="s">
        <x:v>23</x:v>
      </x:c>
      <x:c r="D216" t="s">
        <x:v>21</x:v>
      </x:c>
      <x:c r="E216" t="s">
        <x:v>72</x:v>
      </x:c>
      <x:c r="F216" t="s">
        <x:v>13</x:v>
      </x:c>
      <x:c r="G216" t="s">
        <x:v>14</x:v>
      </x:c>
      <x:c r="H216" t="s">
        <x:v>15</x:v>
      </x:c>
      <x:c r="I216" t="s">
        <x:v>40</x:v>
      </x:c>
    </x:row>
    <x:row r="217">
      <x:c r="A217" t="s">
        <x:v>9</x:v>
      </x:c>
      <x:c r="B217">
        <x:v>0.792919388848079</x:v>
      </x:c>
      <x:c r="C217" t="s">
        <x:v>23</x:v>
      </x:c>
      <x:c r="D217" t="s">
        <x:v>11</x:v>
      </x:c>
      <x:c r="E217" t="s">
        <x:v>73</x:v>
      </x:c>
      <x:c r="F217" t="s">
        <x:v>13</x:v>
      </x:c>
      <x:c r="G217" t="s">
        <x:v>14</x:v>
      </x:c>
      <x:c r="H217" t="s">
        <x:v>15</x:v>
      </x:c>
      <x:c r="I217" t="s">
        <x:v>40</x:v>
      </x:c>
    </x:row>
    <x:row r="218">
      <x:c r="A218" t="s">
        <x:v>17</x:v>
      </x:c>
      <x:c r="B218">
        <x:v>0.30041268467903098</x:v>
      </x:c>
      <x:c r="C218" t="s">
        <x:v>23</x:v>
      </x:c>
      <x:c r="D218" t="s">
        <x:v>11</x:v>
      </x:c>
      <x:c r="E218" t="s">
        <x:v>73</x:v>
      </x:c>
      <x:c r="F218" t="s">
        <x:v>13</x:v>
      </x:c>
      <x:c r="G218" t="s">
        <x:v>14</x:v>
      </x:c>
      <x:c r="H218" t="s">
        <x:v>15</x:v>
      </x:c>
      <x:c r="I218" t="s">
        <x:v>40</x:v>
      </x:c>
    </x:row>
    <x:row r="219">
      <x:c r="A219" t="s">
        <x:v>18</x:v>
      </x:c>
      <x:c r="B219">
        <x:v>0.30587267875671298</x:v>
      </x:c>
      <x:c r="C219" t="s">
        <x:v>23</x:v>
      </x:c>
      <x:c r="D219" t="s">
        <x:v>11</x:v>
      </x:c>
      <x:c r="E219" t="s">
        <x:v>73</x:v>
      </x:c>
      <x:c r="F219" t="s">
        <x:v>13</x:v>
      </x:c>
      <x:c r="G219" t="s">
        <x:v>14</x:v>
      </x:c>
      <x:c r="H219" t="s">
        <x:v>15</x:v>
      </x:c>
      <x:c r="I219" t="s">
        <x:v>40</x:v>
      </x:c>
    </x:row>
    <x:row r="220">
      <x:c r="A220" t="s">
        <x:v>19</x:v>
      </x:c>
      <x:c r="B220">
        <x:v>0.55305757273245404</x:v>
      </x:c>
      <x:c r="C220" t="s">
        <x:v>23</x:v>
      </x:c>
      <x:c r="D220" t="s">
        <x:v>11</x:v>
      </x:c>
      <x:c r="E220" t="s">
        <x:v>73</x:v>
      </x:c>
      <x:c r="F220" t="s">
        <x:v>13</x:v>
      </x:c>
      <x:c r="G220" t="s">
        <x:v>14</x:v>
      </x:c>
      <x:c r="H220" t="s">
        <x:v>15</x:v>
      </x:c>
      <x:c r="I220" t="s">
        <x:v>40</x:v>
      </x:c>
    </x:row>
    <x:row r="221">
      <x:c r="A221" t="s">
        <x:v>20</x:v>
      </x:c>
      <x:c r="B221">
        <x:v>147563651006464</x:v>
      </x:c>
      <x:c r="C221" t="s">
        <x:v>23</x:v>
      </x:c>
      <x:c r="D221" t="s">
        <x:v>11</x:v>
      </x:c>
      <x:c r="E221" t="s">
        <x:v>73</x:v>
      </x:c>
      <x:c r="F221" t="s">
        <x:v>13</x:v>
      </x:c>
      <x:c r="G221" t="s">
        <x:v>14</x:v>
      </x:c>
      <x:c r="H221" t="s">
        <x:v>15</x:v>
      </x:c>
      <x:c r="I221" t="s">
        <x:v>40</x:v>
      </x:c>
    </x:row>
    <x:row r="222">
      <x:c r="A222" t="s">
        <x:v>9</x:v>
      </x:c>
      <x:c r="B222">
        <x:v>0.92113002913879705</x:v>
      </x:c>
      <x:c r="C222" t="s">
        <x:v>10</x:v>
      </x:c>
      <x:c r="D222" t="s">
        <x:v>11</x:v>
      </x:c>
      <x:c r="E222" t="s">
        <x:v>74</x:v>
      </x:c>
      <x:c r="F222" t="s">
        <x:v>33</x:v>
      </x:c>
      <x:c r="G222" t="s">
        <x:v>27</x:v>
      </x:c>
      <x:c r="I222" t="s">
        <x:v>28</x:v>
      </x:c>
    </x:row>
    <x:row r="223">
      <x:c r="A223" t="s">
        <x:v>17</x:v>
      </x:c>
      <x:c r="B223">
        <x:v>0.50095701217651301</x:v>
      </x:c>
      <x:c r="C223" t="s">
        <x:v>10</x:v>
      </x:c>
      <x:c r="D223" t="s">
        <x:v>11</x:v>
      </x:c>
      <x:c r="E223" t="s">
        <x:v>74</x:v>
      </x:c>
      <x:c r="F223" t="s">
        <x:v>33</x:v>
      </x:c>
      <x:c r="G223" t="s">
        <x:v>27</x:v>
      </x:c>
      <x:c r="I223" t="s">
        <x:v>28</x:v>
      </x:c>
    </x:row>
    <x:row r="224">
      <x:c r="A224" t="s">
        <x:v>18</x:v>
      </x:c>
      <x:c r="B224">
        <x:v>0.44262310862541199</x:v>
      </x:c>
      <x:c r="C224" t="s">
        <x:v>10</x:v>
      </x:c>
      <x:c r="D224" t="s">
        <x:v>11</x:v>
      </x:c>
      <x:c r="E224" t="s">
        <x:v>74</x:v>
      </x:c>
      <x:c r="F224" t="s">
        <x:v>33</x:v>
      </x:c>
      <x:c r="G224" t="s">
        <x:v>27</x:v>
      </x:c>
      <x:c r="I224" t="s">
        <x:v>28</x:v>
      </x:c>
    </x:row>
    <x:row r="225">
      <x:c r="A225" t="s">
        <x:v>19</x:v>
      </x:c>
      <x:c r="B225">
        <x:v>0.66529926245668702</x:v>
      </x:c>
      <x:c r="C225" t="s">
        <x:v>10</x:v>
      </x:c>
      <x:c r="D225" t="s">
        <x:v>11</x:v>
      </x:c>
      <x:c r="E225" t="s">
        <x:v>74</x:v>
      </x:c>
      <x:c r="F225" t="s">
        <x:v>33</x:v>
      </x:c>
      <x:c r="G225" t="s">
        <x:v>27</x:v>
      </x:c>
      <x:c r="I225" t="s">
        <x:v>28</x:v>
      </x:c>
    </x:row>
    <x:row r="226">
      <x:c r="A226" t="s">
        <x:v>20</x:v>
      </x:c>
      <x:c r="B226">
        <x:v>12342768173056</x:v>
      </x:c>
      <x:c r="C226" t="s">
        <x:v>10</x:v>
      </x:c>
      <x:c r="D226" t="s">
        <x:v>11</x:v>
      </x:c>
      <x:c r="E226" t="s">
        <x:v>74</x:v>
      </x:c>
      <x:c r="F226" t="s">
        <x:v>33</x:v>
      </x:c>
      <x:c r="G226" t="s">
        <x:v>27</x:v>
      </x:c>
      <x:c r="I226" t="s">
        <x:v>28</x:v>
      </x:c>
    </x:row>
    <x:row r="227">
      <x:c r="A227" t="s">
        <x:v>9</x:v>
      </x:c>
      <x:c r="B227">
        <x:v>0.92113002913879705</x:v>
      </x:c>
      <x:c r="C227" t="s">
        <x:v>10</x:v>
      </x:c>
      <x:c r="D227" t="s">
        <x:v>21</x:v>
      </x:c>
      <x:c r="E227" t="s">
        <x:v>75</x:v>
      </x:c>
      <x:c r="F227" t="s">
        <x:v>33</x:v>
      </x:c>
      <x:c r="G227" t="s">
        <x:v>27</x:v>
      </x:c>
      <x:c r="I227" t="s">
        <x:v>28</x:v>
      </x:c>
    </x:row>
    <x:row r="228">
      <x:c r="A228" t="s">
        <x:v>17</x:v>
      </x:c>
      <x:c r="B228">
        <x:v>0.50095701217651301</x:v>
      </x:c>
      <x:c r="C228" t="s">
        <x:v>10</x:v>
      </x:c>
      <x:c r="D228" t="s">
        <x:v>21</x:v>
      </x:c>
      <x:c r="E228" t="s">
        <x:v>75</x:v>
      </x:c>
      <x:c r="F228" t="s">
        <x:v>33</x:v>
      </x:c>
      <x:c r="G228" t="s">
        <x:v>27</x:v>
      </x:c>
      <x:c r="I228" t="s">
        <x:v>28</x:v>
      </x:c>
    </x:row>
    <x:row r="229">
      <x:c r="A229" t="s">
        <x:v>18</x:v>
      </x:c>
      <x:c r="B229">
        <x:v>0.44262310862541199</x:v>
      </x:c>
      <x:c r="C229" t="s">
        <x:v>10</x:v>
      </x:c>
      <x:c r="D229" t="s">
        <x:v>21</x:v>
      </x:c>
      <x:c r="E229" t="s">
        <x:v>75</x:v>
      </x:c>
      <x:c r="F229" t="s">
        <x:v>33</x:v>
      </x:c>
      <x:c r="G229" t="s">
        <x:v>27</x:v>
      </x:c>
      <x:c r="I229" t="s">
        <x:v>28</x:v>
      </x:c>
    </x:row>
    <x:row r="230">
      <x:c r="A230" t="s">
        <x:v>19</x:v>
      </x:c>
      <x:c r="B230">
        <x:v>0.66529926245668702</x:v>
      </x:c>
      <x:c r="C230" t="s">
        <x:v>10</x:v>
      </x:c>
      <x:c r="D230" t="s">
        <x:v>21</x:v>
      </x:c>
      <x:c r="E230" t="s">
        <x:v>75</x:v>
      </x:c>
      <x:c r="F230" t="s">
        <x:v>33</x:v>
      </x:c>
      <x:c r="G230" t="s">
        <x:v>27</x:v>
      </x:c>
      <x:c r="I230" t="s">
        <x:v>28</x:v>
      </x:c>
    </x:row>
    <x:row r="231">
      <x:c r="A231" t="s">
        <x:v>20</x:v>
      </x:c>
      <x:c r="B231">
        <x:v>12342768173056</x:v>
      </x:c>
      <x:c r="C231" t="s">
        <x:v>10</x:v>
      </x:c>
      <x:c r="D231" t="s">
        <x:v>21</x:v>
      </x:c>
      <x:c r="E231" t="s">
        <x:v>75</x:v>
      </x:c>
      <x:c r="F231" t="s">
        <x:v>33</x:v>
      </x:c>
      <x:c r="G231" t="s">
        <x:v>27</x:v>
      </x:c>
      <x:c r="I231" t="s">
        <x:v>28</x:v>
      </x:c>
    </x:row>
    <x:row r="232">
      <x:c r="A232" t="s">
        <x:v>9</x:v>
      </x:c>
      <x:c r="B232">
        <x:v>0.916153933669547</x:v>
      </x:c>
      <x:c r="C232" t="s">
        <x:v>23</x:v>
      </x:c>
      <x:c r="D232" t="s">
        <x:v>21</x:v>
      </x:c>
      <x:c r="E232" t="s">
        <x:v>76</x:v>
      </x:c>
      <x:c r="F232" t="s">
        <x:v>33</x:v>
      </x:c>
      <x:c r="G232" t="s">
        <x:v>27</x:v>
      </x:c>
      <x:c r="I232" t="s">
        <x:v>28</x:v>
      </x:c>
    </x:row>
    <x:row r="233">
      <x:c r="A233" t="s">
        <x:v>17</x:v>
      </x:c>
      <x:c r="B233">
        <x:v>0.28416815400123502</x:v>
      </x:c>
      <x:c r="C233" t="s">
        <x:v>23</x:v>
      </x:c>
      <x:c r="D233" t="s">
        <x:v>21</x:v>
      </x:c>
      <x:c r="E233" t="s">
        <x:v>76</x:v>
      </x:c>
      <x:c r="F233" t="s">
        <x:v>33</x:v>
      </x:c>
      <x:c r="G233" t="s">
        <x:v>27</x:v>
      </x:c>
      <x:c r="I233" t="s">
        <x:v>28</x:v>
      </x:c>
    </x:row>
    <x:row r="234">
      <x:c r="A234" t="s">
        <x:v>18</x:v>
      </x:c>
      <x:c r="B234">
        <x:v>0.25734162330627403</x:v>
      </x:c>
      <x:c r="C234" t="s">
        <x:v>23</x:v>
      </x:c>
      <x:c r="D234" t="s">
        <x:v>21</x:v>
      </x:c>
      <x:c r="E234" t="s">
        <x:v>76</x:v>
      </x:c>
      <x:c r="F234" t="s">
        <x:v>33</x:v>
      </x:c>
      <x:c r="G234" t="s">
        <x:v>27</x:v>
      </x:c>
      <x:c r="I234" t="s">
        <x:v>28</x:v>
      </x:c>
    </x:row>
    <x:row r="235">
      <x:c r="A235" t="s">
        <x:v>19</x:v>
      </x:c>
      <x:c r="B235">
        <x:v>0.50728850105859302</x:v>
      </x:c>
      <x:c r="C235" t="s">
        <x:v>23</x:v>
      </x:c>
      <x:c r="D235" t="s">
        <x:v>21</x:v>
      </x:c>
      <x:c r="E235" t="s">
        <x:v>76</x:v>
      </x:c>
      <x:c r="F235" t="s">
        <x:v>33</x:v>
      </x:c>
      <x:c r="G235" t="s">
        <x:v>27</x:v>
      </x:c>
      <x:c r="I235" t="s">
        <x:v>28</x:v>
      </x:c>
    </x:row>
    <x:row r="236">
      <x:c r="A236" t="s">
        <x:v>20</x:v>
      </x:c>
      <x:c r="B236">
        <x:v>70285638238208</x:v>
      </x:c>
      <x:c r="C236" t="s">
        <x:v>23</x:v>
      </x:c>
      <x:c r="D236" t="s">
        <x:v>21</x:v>
      </x:c>
      <x:c r="E236" t="s">
        <x:v>76</x:v>
      </x:c>
      <x:c r="F236" t="s">
        <x:v>33</x:v>
      </x:c>
      <x:c r="G236" t="s">
        <x:v>27</x:v>
      </x:c>
      <x:c r="I236" t="s">
        <x:v>28</x:v>
      </x:c>
    </x:row>
    <x:row r="237">
      <x:c r="A237" t="s">
        <x:v>9</x:v>
      </x:c>
      <x:c r="B237">
        <x:v>0.916153933669547</x:v>
      </x:c>
      <x:c r="C237" t="s">
        <x:v>23</x:v>
      </x:c>
      <x:c r="D237" t="s">
        <x:v>11</x:v>
      </x:c>
      <x:c r="E237" t="s">
        <x:v>77</x:v>
      </x:c>
      <x:c r="F237" t="s">
        <x:v>33</x:v>
      </x:c>
      <x:c r="G237" t="s">
        <x:v>27</x:v>
      </x:c>
      <x:c r="I237" t="s">
        <x:v>28</x:v>
      </x:c>
    </x:row>
    <x:row r="238">
      <x:c r="A238" t="s">
        <x:v>17</x:v>
      </x:c>
      <x:c r="B238">
        <x:v>0.28416815400123502</x:v>
      </x:c>
      <x:c r="C238" t="s">
        <x:v>23</x:v>
      </x:c>
      <x:c r="D238" t="s">
        <x:v>11</x:v>
      </x:c>
      <x:c r="E238" t="s">
        <x:v>77</x:v>
      </x:c>
      <x:c r="F238" t="s">
        <x:v>33</x:v>
      </x:c>
      <x:c r="G238" t="s">
        <x:v>27</x:v>
      </x:c>
      <x:c r="I238" t="s">
        <x:v>28</x:v>
      </x:c>
    </x:row>
    <x:row r="239">
      <x:c r="A239" t="s">
        <x:v>18</x:v>
      </x:c>
      <x:c r="B239">
        <x:v>0.25734162330627403</x:v>
      </x:c>
      <x:c r="C239" t="s">
        <x:v>23</x:v>
      </x:c>
      <x:c r="D239" t="s">
        <x:v>11</x:v>
      </x:c>
      <x:c r="E239" t="s">
        <x:v>77</x:v>
      </x:c>
      <x:c r="F239" t="s">
        <x:v>33</x:v>
      </x:c>
      <x:c r="G239" t="s">
        <x:v>27</x:v>
      </x:c>
      <x:c r="I239" t="s">
        <x:v>28</x:v>
      </x:c>
    </x:row>
    <x:row r="240">
      <x:c r="A240" t="s">
        <x:v>19</x:v>
      </x:c>
      <x:c r="B240">
        <x:v>0.50728850105859302</x:v>
      </x:c>
      <x:c r="C240" t="s">
        <x:v>23</x:v>
      </x:c>
      <x:c r="D240" t="s">
        <x:v>11</x:v>
      </x:c>
      <x:c r="E240" t="s">
        <x:v>77</x:v>
      </x:c>
      <x:c r="F240" t="s">
        <x:v>33</x:v>
      </x:c>
      <x:c r="G240" t="s">
        <x:v>27</x:v>
      </x:c>
      <x:c r="I240" t="s">
        <x:v>28</x:v>
      </x:c>
    </x:row>
    <x:row r="241">
      <x:c r="A241" t="s">
        <x:v>20</x:v>
      </x:c>
      <x:c r="B241">
        <x:v>70285638238208</x:v>
      </x:c>
      <x:c r="C241" t="s">
        <x:v>23</x:v>
      </x:c>
      <x:c r="D241" t="s">
        <x:v>11</x:v>
      </x:c>
      <x:c r="E241" t="s">
        <x:v>77</x:v>
      </x:c>
      <x:c r="F241" t="s">
        <x:v>33</x:v>
      </x:c>
      <x:c r="G241" t="s">
        <x:v>27</x:v>
      </x:c>
      <x:c r="I241" t="s">
        <x:v>28</x:v>
      </x:c>
    </x:row>
    <x:row r="242">
      <x:c r="A242" t="s">
        <x:v>9</x:v>
      </x:c>
      <x:c r="B242">
        <x:v>0.93946442998303803</x:v>
      </x:c>
      <x:c r="C242" t="s">
        <x:v>10</x:v>
      </x:c>
      <x:c r="D242" t="s">
        <x:v>11</x:v>
      </x:c>
      <x:c r="E242" t="s">
        <x:v>78</x:v>
      </x:c>
      <x:c r="F242" t="s">
        <x:v>33</x:v>
      </x:c>
      <x:c r="G242" t="s">
        <x:v>27</x:v>
      </x:c>
      <x:c r="I242" t="s">
        <x:v>40</x:v>
      </x:c>
    </x:row>
    <x:row r="243">
      <x:c r="A243" t="s">
        <x:v>17</x:v>
      </x:c>
      <x:c r="B243">
        <x:v>0.115064039826393</x:v>
      </x:c>
      <x:c r="C243" t="s">
        <x:v>10</x:v>
      </x:c>
      <x:c r="D243" t="s">
        <x:v>11</x:v>
      </x:c>
      <x:c r="E243" t="s">
        <x:v>78</x:v>
      </x:c>
      <x:c r="F243" t="s">
        <x:v>33</x:v>
      </x:c>
      <x:c r="G243" t="s">
        <x:v>27</x:v>
      </x:c>
      <x:c r="I243" t="s">
        <x:v>40</x:v>
      </x:c>
    </x:row>
    <x:row r="244">
      <x:c r="A244" t="s">
        <x:v>18</x:v>
      </x:c>
      <x:c r="B244">
        <x:v>3.6708276718854897E-2</x:v>
      </x:c>
      <x:c r="C244" t="s">
        <x:v>10</x:v>
      </x:c>
      <x:c r="D244" t="s">
        <x:v>11</x:v>
      </x:c>
      <x:c r="E244" t="s">
        <x:v>78</x:v>
      </x:c>
      <x:c r="F244" t="s">
        <x:v>33</x:v>
      </x:c>
      <x:c r="G244" t="s">
        <x:v>27</x:v>
      </x:c>
      <x:c r="I244" t="s">
        <x:v>40</x:v>
      </x:c>
    </x:row>
    <x:row r="245">
      <x:c r="A245" t="s">
        <x:v>19</x:v>
      </x:c>
      <x:c r="B245">
        <x:v>0.191594041449244</x:v>
      </x:c>
      <x:c r="C245" t="s">
        <x:v>10</x:v>
      </x:c>
      <x:c r="D245" t="s">
        <x:v>11</x:v>
      </x:c>
      <x:c r="E245" t="s">
        <x:v>78</x:v>
      </x:c>
      <x:c r="F245" t="s">
        <x:v>33</x:v>
      </x:c>
      <x:c r="G245" t="s">
        <x:v>27</x:v>
      </x:c>
      <x:c r="I245" t="s">
        <x:v>40</x:v>
      </x:c>
    </x:row>
    <x:row r="246">
      <x:c r="A246" t="s">
        <x:v>20</x:v>
      </x:c>
      <x:c r="B246">
        <x:v>53544233205760</x:v>
      </x:c>
      <x:c r="C246" t="s">
        <x:v>10</x:v>
      </x:c>
      <x:c r="D246" t="s">
        <x:v>11</x:v>
      </x:c>
      <x:c r="E246" t="s">
        <x:v>78</x:v>
      </x:c>
      <x:c r="F246" t="s">
        <x:v>33</x:v>
      </x:c>
      <x:c r="G246" t="s">
        <x:v>27</x:v>
      </x:c>
      <x:c r="I246" t="s">
        <x:v>40</x:v>
      </x:c>
    </x:row>
    <x:row r="247">
      <x:c r="A247" t="s">
        <x:v>9</x:v>
      </x:c>
      <x:c r="B247">
        <x:v>0.93946442998303803</x:v>
      </x:c>
      <x:c r="C247" t="s">
        <x:v>10</x:v>
      </x:c>
      <x:c r="D247" t="s">
        <x:v>21</x:v>
      </x:c>
      <x:c r="E247" t="s">
        <x:v>79</x:v>
      </x:c>
      <x:c r="F247" t="s">
        <x:v>33</x:v>
      </x:c>
      <x:c r="G247" t="s">
        <x:v>27</x:v>
      </x:c>
      <x:c r="I247" t="s">
        <x:v>40</x:v>
      </x:c>
    </x:row>
    <x:row r="248">
      <x:c r="A248" t="s">
        <x:v>17</x:v>
      </x:c>
      <x:c r="B248">
        <x:v>0.115064039826393</x:v>
      </x:c>
      <x:c r="C248" t="s">
        <x:v>10</x:v>
      </x:c>
      <x:c r="D248" t="s">
        <x:v>21</x:v>
      </x:c>
      <x:c r="E248" t="s">
        <x:v>79</x:v>
      </x:c>
      <x:c r="F248" t="s">
        <x:v>33</x:v>
      </x:c>
      <x:c r="G248" t="s">
        <x:v>27</x:v>
      </x:c>
      <x:c r="I248" t="s">
        <x:v>40</x:v>
      </x:c>
    </x:row>
    <x:row r="249">
      <x:c r="A249" t="s">
        <x:v>18</x:v>
      </x:c>
      <x:c r="B249">
        <x:v>3.6708276718854897E-2</x:v>
      </x:c>
      <x:c r="C249" t="s">
        <x:v>10</x:v>
      </x:c>
      <x:c r="D249" t="s">
        <x:v>21</x:v>
      </x:c>
      <x:c r="E249" t="s">
        <x:v>79</x:v>
      </x:c>
      <x:c r="F249" t="s">
        <x:v>33</x:v>
      </x:c>
      <x:c r="G249" t="s">
        <x:v>27</x:v>
      </x:c>
      <x:c r="I249" t="s">
        <x:v>40</x:v>
      </x:c>
    </x:row>
    <x:row r="250">
      <x:c r="A250" t="s">
        <x:v>19</x:v>
      </x:c>
      <x:c r="B250">
        <x:v>0.191594041449244</x:v>
      </x:c>
      <x:c r="C250" t="s">
        <x:v>10</x:v>
      </x:c>
      <x:c r="D250" t="s">
        <x:v>21</x:v>
      </x:c>
      <x:c r="E250" t="s">
        <x:v>79</x:v>
      </x:c>
      <x:c r="F250" t="s">
        <x:v>33</x:v>
      </x:c>
      <x:c r="G250" t="s">
        <x:v>27</x:v>
      </x:c>
      <x:c r="I250" t="s">
        <x:v>40</x:v>
      </x:c>
    </x:row>
    <x:row r="251">
      <x:c r="A251" t="s">
        <x:v>20</x:v>
      </x:c>
      <x:c r="B251">
        <x:v>53544233205760</x:v>
      </x:c>
      <x:c r="C251" t="s">
        <x:v>10</x:v>
      </x:c>
      <x:c r="D251" t="s">
        <x:v>21</x:v>
      </x:c>
      <x:c r="E251" t="s">
        <x:v>79</x:v>
      </x:c>
      <x:c r="F251" t="s">
        <x:v>33</x:v>
      </x:c>
      <x:c r="G251" t="s">
        <x:v>27</x:v>
      </x:c>
      <x:c r="I251" t="s">
        <x:v>40</x:v>
      </x:c>
    </x:row>
    <x:row r="252">
      <x:c r="A252" t="s">
        <x:v>9</x:v>
      </x:c>
      <x:c r="B252">
        <x:v>0.89706695249745105</x:v>
      </x:c>
      <x:c r="C252" t="s">
        <x:v>23</x:v>
      </x:c>
      <x:c r="D252" t="s">
        <x:v>21</x:v>
      </x:c>
      <x:c r="E252" t="s">
        <x:v>80</x:v>
      </x:c>
      <x:c r="F252" t="s">
        <x:v>33</x:v>
      </x:c>
      <x:c r="G252" t="s">
        <x:v>27</x:v>
      </x:c>
      <x:c r="I252" t="s">
        <x:v>40</x:v>
      </x:c>
    </x:row>
    <x:row r="253">
      <x:c r="A253" t="s">
        <x:v>17</x:v>
      </x:c>
      <x:c r="B253">
        <x:v>0.241784632205963</x:v>
      </x:c>
      <x:c r="C253" t="s">
        <x:v>23</x:v>
      </x:c>
      <x:c r="D253" t="s">
        <x:v>21</x:v>
      </x:c>
      <x:c r="E253" t="s">
        <x:v>80</x:v>
      </x:c>
      <x:c r="F253" t="s">
        <x:v>33</x:v>
      </x:c>
      <x:c r="G253" t="s">
        <x:v>27</x:v>
      </x:c>
      <x:c r="I253" t="s">
        <x:v>40</x:v>
      </x:c>
    </x:row>
    <x:row r="254">
      <x:c r="A254" t="s">
        <x:v>18</x:v>
      </x:c>
      <x:c r="B254">
        <x:v>0.239441618323326</x:v>
      </x:c>
      <x:c r="C254" t="s">
        <x:v>23</x:v>
      </x:c>
      <x:c r="D254" t="s">
        <x:v>21</x:v>
      </x:c>
      <x:c r="E254" t="s">
        <x:v>80</x:v>
      </x:c>
      <x:c r="F254" t="s">
        <x:v>33</x:v>
      </x:c>
      <x:c r="G254" t="s">
        <x:v>27</x:v>
      </x:c>
      <x:c r="I254" t="s">
        <x:v>40</x:v>
      </x:c>
    </x:row>
    <x:row r="255">
      <x:c r="A255" t="s">
        <x:v>19</x:v>
      </x:c>
      <x:c r="B255">
        <x:v>0.48932772077956699</x:v>
      </x:c>
      <x:c r="C255" t="s">
        <x:v>23</x:v>
      </x:c>
      <x:c r="D255" t="s">
        <x:v>21</x:v>
      </x:c>
      <x:c r="E255" t="s">
        <x:v>80</x:v>
      </x:c>
      <x:c r="F255" t="s">
        <x:v>33</x:v>
      </x:c>
      <x:c r="G255" t="s">
        <x:v>27</x:v>
      </x:c>
      <x:c r="I255" t="s">
        <x:v>40</x:v>
      </x:c>
    </x:row>
    <x:row r="256">
      <x:c r="A256" t="s">
        <x:v>20</x:v>
      </x:c>
      <x:c r="B256">
        <x:v>84492744130560</x:v>
      </x:c>
      <x:c r="C256" t="s">
        <x:v>23</x:v>
      </x:c>
      <x:c r="D256" t="s">
        <x:v>21</x:v>
      </x:c>
      <x:c r="E256" t="s">
        <x:v>80</x:v>
      </x:c>
      <x:c r="F256" t="s">
        <x:v>33</x:v>
      </x:c>
      <x:c r="G256" t="s">
        <x:v>27</x:v>
      </x:c>
      <x:c r="I256" t="s">
        <x:v>40</x:v>
      </x:c>
    </x:row>
    <x:row r="257">
      <x:c r="A257" t="s">
        <x:v>9</x:v>
      </x:c>
      <x:c r="B257">
        <x:v>0.89706695249745105</x:v>
      </x:c>
      <x:c r="C257" t="s">
        <x:v>23</x:v>
      </x:c>
      <x:c r="D257" t="s">
        <x:v>11</x:v>
      </x:c>
      <x:c r="E257" t="s">
        <x:v>81</x:v>
      </x:c>
      <x:c r="F257" t="s">
        <x:v>33</x:v>
      </x:c>
      <x:c r="G257" t="s">
        <x:v>27</x:v>
      </x:c>
      <x:c r="I257" t="s">
        <x:v>40</x:v>
      </x:c>
    </x:row>
    <x:row r="258">
      <x:c r="A258" t="s">
        <x:v>17</x:v>
      </x:c>
      <x:c r="B258">
        <x:v>0.241784632205963</x:v>
      </x:c>
      <x:c r="C258" t="s">
        <x:v>23</x:v>
      </x:c>
      <x:c r="D258" t="s">
        <x:v>11</x:v>
      </x:c>
      <x:c r="E258" t="s">
        <x:v>81</x:v>
      </x:c>
      <x:c r="F258" t="s">
        <x:v>33</x:v>
      </x:c>
      <x:c r="G258" t="s">
        <x:v>27</x:v>
      </x:c>
      <x:c r="I258" t="s">
        <x:v>40</x:v>
      </x:c>
    </x:row>
    <x:row r="259">
      <x:c r="A259" t="s">
        <x:v>18</x:v>
      </x:c>
      <x:c r="B259">
        <x:v>0.239441618323326</x:v>
      </x:c>
      <x:c r="C259" t="s">
        <x:v>23</x:v>
      </x:c>
      <x:c r="D259" t="s">
        <x:v>11</x:v>
      </x:c>
      <x:c r="E259" t="s">
        <x:v>81</x:v>
      </x:c>
      <x:c r="F259" t="s">
        <x:v>33</x:v>
      </x:c>
      <x:c r="G259" t="s">
        <x:v>27</x:v>
      </x:c>
      <x:c r="I259" t="s">
        <x:v>40</x:v>
      </x:c>
    </x:row>
    <x:row r="260">
      <x:c r="A260" t="s">
        <x:v>19</x:v>
      </x:c>
      <x:c r="B260">
        <x:v>0.48932772077956699</x:v>
      </x:c>
      <x:c r="C260" t="s">
        <x:v>23</x:v>
      </x:c>
      <x:c r="D260" t="s">
        <x:v>11</x:v>
      </x:c>
      <x:c r="E260" t="s">
        <x:v>81</x:v>
      </x:c>
      <x:c r="F260" t="s">
        <x:v>33</x:v>
      </x:c>
      <x:c r="G260" t="s">
        <x:v>27</x:v>
      </x:c>
      <x:c r="I260" t="s">
        <x:v>40</x:v>
      </x:c>
    </x:row>
    <x:row r="261">
      <x:c r="A261" t="s">
        <x:v>20</x:v>
      </x:c>
      <x:c r="B261">
        <x:v>84492744130560</x:v>
      </x:c>
      <x:c r="C261" t="s">
        <x:v>23</x:v>
      </x:c>
      <x:c r="D261" t="s">
        <x:v>11</x:v>
      </x:c>
      <x:c r="E261" t="s">
        <x:v>81</x:v>
      </x:c>
      <x:c r="F261" t="s">
        <x:v>33</x:v>
      </x:c>
      <x:c r="G261" t="s">
        <x:v>27</x:v>
      </x:c>
      <x:c r="I261" t="s">
        <x:v>40</x:v>
      </x:c>
    </x:row>
    <x:row r="262">
      <x:c r="A262" t="s">
        <x:v>9</x:v>
      </x:c>
      <x:c r="B262">
        <x:v>0.98499941923323497</x:v>
      </x:c>
      <x:c r="C262" t="s">
        <x:v>10</x:v>
      </x:c>
      <x:c r="D262" t="s">
        <x:v>11</x:v>
      </x:c>
      <x:c r="E262" t="s">
        <x:v>82</x:v>
      </x:c>
      <x:c r="F262" t="s">
        <x:v>13</x:v>
      </x:c>
      <x:c r="G262" t="s">
        <x:v>14</x:v>
      </x:c>
      <x:c r="I262" t="s">
        <x:v>45</x:v>
      </x:c>
    </x:row>
    <x:row r="263">
      <x:c r="A263" t="s">
        <x:v>17</x:v>
      </x:c>
      <x:c r="B263">
        <x:v>5.59711689129471E-3</x:v>
      </x:c>
      <x:c r="C263" t="s">
        <x:v>10</x:v>
      </x:c>
      <x:c r="D263" t="s">
        <x:v>11</x:v>
      </x:c>
      <x:c r="E263" t="s">
        <x:v>82</x:v>
      </x:c>
      <x:c r="F263" t="s">
        <x:v>13</x:v>
      </x:c>
      <x:c r="G263" t="s">
        <x:v>14</x:v>
      </x:c>
      <x:c r="I263" t="s">
        <x:v>45</x:v>
      </x:c>
    </x:row>
    <x:row r="264">
      <x:c r="A264" t="s">
        <x:v>18</x:v>
      </x:c>
      <x:c r="B264">
        <x:v>7.9580099554732399E-4</x:v>
      </x:c>
      <x:c r="C264" t="s">
        <x:v>10</x:v>
      </x:c>
      <x:c r="D264" t="s">
        <x:v>11</x:v>
      </x:c>
      <x:c r="E264" t="s">
        <x:v>82</x:v>
      </x:c>
      <x:c r="F264" t="s">
        <x:v>13</x:v>
      </x:c>
      <x:c r="G264" t="s">
        <x:v>14</x:v>
      </x:c>
      <x:c r="I264" t="s">
        <x:v>45</x:v>
      </x:c>
    </x:row>
    <x:row r="265">
      <x:c r="A265" t="s">
        <x:v>19</x:v>
      </x:c>
      <x:c r="B265">
        <x:v>2.82099449759712E-2</x:v>
      </x:c>
      <x:c r="C265" t="s">
        <x:v>10</x:v>
      </x:c>
      <x:c r="D265" t="s">
        <x:v>11</x:v>
      </x:c>
      <x:c r="E265" t="s">
        <x:v>82</x:v>
      </x:c>
      <x:c r="F265" t="s">
        <x:v>13</x:v>
      </x:c>
      <x:c r="G265" t="s">
        <x:v>14</x:v>
      </x:c>
      <x:c r="I265" t="s">
        <x:v>45</x:v>
      </x:c>
    </x:row>
    <x:row r="266">
      <x:c r="A266" t="s">
        <x:v>20</x:v>
      </x:c>
      <x:c r="B266">
        <x:v>3806937219072</x:v>
      </x:c>
      <x:c r="C266" t="s">
        <x:v>10</x:v>
      </x:c>
      <x:c r="D266" t="s">
        <x:v>11</x:v>
      </x:c>
      <x:c r="E266" t="s">
        <x:v>82</x:v>
      </x:c>
      <x:c r="F266" t="s">
        <x:v>13</x:v>
      </x:c>
      <x:c r="G266" t="s">
        <x:v>14</x:v>
      </x:c>
      <x:c r="I266" t="s">
        <x:v>45</x:v>
      </x:c>
    </x:row>
    <x:row r="267">
      <x:c r="A267" t="s">
        <x:v>9</x:v>
      </x:c>
      <x:c r="B267">
        <x:v>0.98499941923323497</x:v>
      </x:c>
      <x:c r="C267" t="s">
        <x:v>10</x:v>
      </x:c>
      <x:c r="D267" t="s">
        <x:v>21</x:v>
      </x:c>
      <x:c r="E267" t="s">
        <x:v>83</x:v>
      </x:c>
      <x:c r="F267" t="s">
        <x:v>13</x:v>
      </x:c>
      <x:c r="G267" t="s">
        <x:v>14</x:v>
      </x:c>
      <x:c r="I267" t="s">
        <x:v>45</x:v>
      </x:c>
    </x:row>
    <x:row r="268">
      <x:c r="A268" t="s">
        <x:v>17</x:v>
      </x:c>
      <x:c r="B268">
        <x:v>5.59711689129471E-3</x:v>
      </x:c>
      <x:c r="C268" t="s">
        <x:v>10</x:v>
      </x:c>
      <x:c r="D268" t="s">
        <x:v>21</x:v>
      </x:c>
      <x:c r="E268" t="s">
        <x:v>83</x:v>
      </x:c>
      <x:c r="F268" t="s">
        <x:v>13</x:v>
      </x:c>
      <x:c r="G268" t="s">
        <x:v>14</x:v>
      </x:c>
      <x:c r="I268" t="s">
        <x:v>45</x:v>
      </x:c>
    </x:row>
    <x:row r="269">
      <x:c r="A269" t="s">
        <x:v>18</x:v>
      </x:c>
      <x:c r="B269">
        <x:v>7.9580099554732399E-4</x:v>
      </x:c>
      <x:c r="C269" t="s">
        <x:v>10</x:v>
      </x:c>
      <x:c r="D269" t="s">
        <x:v>21</x:v>
      </x:c>
      <x:c r="E269" t="s">
        <x:v>83</x:v>
      </x:c>
      <x:c r="F269" t="s">
        <x:v>13</x:v>
      </x:c>
      <x:c r="G269" t="s">
        <x:v>14</x:v>
      </x:c>
      <x:c r="I269" t="s">
        <x:v>45</x:v>
      </x:c>
    </x:row>
    <x:row r="270">
      <x:c r="A270" t="s">
        <x:v>19</x:v>
      </x:c>
      <x:c r="B270">
        <x:v>2.82099449759712E-2</x:v>
      </x:c>
      <x:c r="C270" t="s">
        <x:v>10</x:v>
      </x:c>
      <x:c r="D270" t="s">
        <x:v>21</x:v>
      </x:c>
      <x:c r="E270" t="s">
        <x:v>83</x:v>
      </x:c>
      <x:c r="F270" t="s">
        <x:v>13</x:v>
      </x:c>
      <x:c r="G270" t="s">
        <x:v>14</x:v>
      </x:c>
      <x:c r="I270" t="s">
        <x:v>45</x:v>
      </x:c>
    </x:row>
    <x:row r="271">
      <x:c r="A271" t="s">
        <x:v>20</x:v>
      </x:c>
      <x:c r="B271">
        <x:v>3806937219072</x:v>
      </x:c>
      <x:c r="C271" t="s">
        <x:v>10</x:v>
      </x:c>
      <x:c r="D271" t="s">
        <x:v>21</x:v>
      </x:c>
      <x:c r="E271" t="s">
        <x:v>83</x:v>
      </x:c>
      <x:c r="F271" t="s">
        <x:v>13</x:v>
      </x:c>
      <x:c r="G271" t="s">
        <x:v>14</x:v>
      </x:c>
      <x:c r="I271" t="s">
        <x:v>45</x:v>
      </x:c>
    </x:row>
    <x:row r="272">
      <x:c r="A272" t="s">
        <x:v>9</x:v>
      </x:c>
      <x:c r="B272">
        <x:v>0.65081334478414699</x:v>
      </x:c>
      <x:c r="C272" t="s">
        <x:v>23</x:v>
      </x:c>
      <x:c r="D272" t="s">
        <x:v>21</x:v>
      </x:c>
      <x:c r="E272" t="s">
        <x:v>84</x:v>
      </x:c>
      <x:c r="F272" t="s">
        <x:v>13</x:v>
      </x:c>
      <x:c r="G272" t="s">
        <x:v>14</x:v>
      </x:c>
      <x:c r="I272" t="s">
        <x:v>45</x:v>
      </x:c>
    </x:row>
    <x:row r="273">
      <x:c r="A273" t="s">
        <x:v>17</x:v>
      </x:c>
      <x:c r="B273">
        <x:v>0.43602848052978499</x:v>
      </x:c>
      <x:c r="C273" t="s">
        <x:v>23</x:v>
      </x:c>
      <x:c r="D273" t="s">
        <x:v>21</x:v>
      </x:c>
      <x:c r="E273" t="s">
        <x:v>84</x:v>
      </x:c>
      <x:c r="F273" t="s">
        <x:v>13</x:v>
      </x:c>
      <x:c r="G273" t="s">
        <x:v>14</x:v>
      </x:c>
      <x:c r="I273" t="s">
        <x:v>45</x:v>
      </x:c>
    </x:row>
    <x:row r="274">
      <x:c r="A274" t="s">
        <x:v>18</x:v>
      </x:c>
      <x:c r="B274">
        <x:v>0.489660084247589</x:v>
      </x:c>
      <x:c r="C274" t="s">
        <x:v>23</x:v>
      </x:c>
      <x:c r="D274" t="s">
        <x:v>21</x:v>
      </x:c>
      <x:c r="E274" t="s">
        <x:v>84</x:v>
      </x:c>
      <x:c r="F274" t="s">
        <x:v>13</x:v>
      </x:c>
      <x:c r="G274" t="s">
        <x:v>14</x:v>
      </x:c>
      <x:c r="I274" t="s">
        <x:v>45</x:v>
      </x:c>
    </x:row>
    <x:row r="275">
      <x:c r="A275" t="s">
        <x:v>19</x:v>
      </x:c>
      <x:c r="B275">
        <x:v>0.69975716091197604</x:v>
      </x:c>
      <x:c r="C275" t="s">
        <x:v>23</x:v>
      </x:c>
      <x:c r="D275" t="s">
        <x:v>21</x:v>
      </x:c>
      <x:c r="E275" t="s">
        <x:v>84</x:v>
      </x:c>
      <x:c r="F275" t="s">
        <x:v>13</x:v>
      </x:c>
      <x:c r="G275" t="s">
        <x:v>14</x:v>
      </x:c>
      <x:c r="I275" t="s">
        <x:v>45</x:v>
      </x:c>
    </x:row>
    <x:row r="276">
      <x:c r="A276" t="s">
        <x:v>20</x:v>
      </x:c>
      <x:c r="B276">
        <x:v>566823409942528</x:v>
      </x:c>
      <x:c r="C276" t="s">
        <x:v>23</x:v>
      </x:c>
      <x:c r="D276" t="s">
        <x:v>21</x:v>
      </x:c>
      <x:c r="E276" t="s">
        <x:v>84</x:v>
      </x:c>
      <x:c r="F276" t="s">
        <x:v>13</x:v>
      </x:c>
      <x:c r="G276" t="s">
        <x:v>14</x:v>
      </x:c>
      <x:c r="I276" t="s">
        <x:v>45</x:v>
      </x:c>
    </x:row>
    <x:row r="277">
      <x:c r="A277" t="s">
        <x:v>9</x:v>
      </x:c>
      <x:c r="B277">
        <x:v>0.65081334478414699</x:v>
      </x:c>
      <x:c r="C277" t="s">
        <x:v>23</x:v>
      </x:c>
      <x:c r="D277" t="s">
        <x:v>11</x:v>
      </x:c>
      <x:c r="E277" t="s">
        <x:v>85</x:v>
      </x:c>
      <x:c r="F277" t="s">
        <x:v>13</x:v>
      </x:c>
      <x:c r="G277" t="s">
        <x:v>14</x:v>
      </x:c>
      <x:c r="I277" t="s">
        <x:v>45</x:v>
      </x:c>
    </x:row>
    <x:row r="278">
      <x:c r="A278" t="s">
        <x:v>17</x:v>
      </x:c>
      <x:c r="B278">
        <x:v>0.43602848052978499</x:v>
      </x:c>
      <x:c r="C278" t="s">
        <x:v>23</x:v>
      </x:c>
      <x:c r="D278" t="s">
        <x:v>11</x:v>
      </x:c>
      <x:c r="E278" t="s">
        <x:v>85</x:v>
      </x:c>
      <x:c r="F278" t="s">
        <x:v>13</x:v>
      </x:c>
      <x:c r="G278" t="s">
        <x:v>14</x:v>
      </x:c>
      <x:c r="I278" t="s">
        <x:v>45</x:v>
      </x:c>
    </x:row>
    <x:row r="279">
      <x:c r="A279" t="s">
        <x:v>18</x:v>
      </x:c>
      <x:c r="B279">
        <x:v>0.489660084247589</x:v>
      </x:c>
      <x:c r="C279" t="s">
        <x:v>23</x:v>
      </x:c>
      <x:c r="D279" t="s">
        <x:v>11</x:v>
      </x:c>
      <x:c r="E279" t="s">
        <x:v>85</x:v>
      </x:c>
      <x:c r="F279" t="s">
        <x:v>13</x:v>
      </x:c>
      <x:c r="G279" t="s">
        <x:v>14</x:v>
      </x:c>
      <x:c r="I279" t="s">
        <x:v>45</x:v>
      </x:c>
    </x:row>
    <x:row r="280">
      <x:c r="A280" t="s">
        <x:v>19</x:v>
      </x:c>
      <x:c r="B280">
        <x:v>0.69975716091197604</x:v>
      </x:c>
      <x:c r="C280" t="s">
        <x:v>23</x:v>
      </x:c>
      <x:c r="D280" t="s">
        <x:v>11</x:v>
      </x:c>
      <x:c r="E280" t="s">
        <x:v>85</x:v>
      </x:c>
      <x:c r="F280" t="s">
        <x:v>13</x:v>
      </x:c>
      <x:c r="G280" t="s">
        <x:v>14</x:v>
      </x:c>
      <x:c r="I280" t="s">
        <x:v>45</x:v>
      </x:c>
    </x:row>
    <x:row r="281">
      <x:c r="A281" t="s">
        <x:v>20</x:v>
      </x:c>
      <x:c r="B281">
        <x:v>566823409942528</x:v>
      </x:c>
      <x:c r="C281" t="s">
        <x:v>23</x:v>
      </x:c>
      <x:c r="D281" t="s">
        <x:v>11</x:v>
      </x:c>
      <x:c r="E281" t="s">
        <x:v>85</x:v>
      </x:c>
      <x:c r="F281" t="s">
        <x:v>13</x:v>
      </x:c>
      <x:c r="G281" t="s">
        <x:v>14</x:v>
      </x:c>
      <x:c r="I281" t="s">
        <x:v>45</x:v>
      </x:c>
    </x:row>
    <x:row r="282">
      <x:c r="A282" t="s">
        <x:v>9</x:v>
      </x:c>
      <x:c r="B282">
        <x:v>0.932445382887789</x:v>
      </x:c>
      <x:c r="C282" t="s">
        <x:v>10</x:v>
      </x:c>
      <x:c r="D282" t="s">
        <x:v>11</x:v>
      </x:c>
      <x:c r="E282" t="s">
        <x:v>86</x:v>
      </x:c>
      <x:c r="F282" t="s">
        <x:v>13</x:v>
      </x:c>
      <x:c r="G282" t="s">
        <x:v>27</x:v>
      </x:c>
      <x:c r="H282" t="s">
        <x:v>15</x:v>
      </x:c>
      <x:c r="I282" t="s">
        <x:v>87</x:v>
      </x:c>
    </x:row>
    <x:row r="283">
      <x:c r="A283" t="s">
        <x:v>17</x:v>
      </x:c>
      <x:c r="B283">
        <x:v>0.272079437971115</x:v>
      </x:c>
      <x:c r="C283" t="s">
        <x:v>10</x:v>
      </x:c>
      <x:c r="D283" t="s">
        <x:v>11</x:v>
      </x:c>
      <x:c r="E283" t="s">
        <x:v>86</x:v>
      </x:c>
      <x:c r="F283" t="s">
        <x:v>13</x:v>
      </x:c>
      <x:c r="G283" t="s">
        <x:v>27</x:v>
      </x:c>
      <x:c r="H283" t="s">
        <x:v>15</x:v>
      </x:c>
      <x:c r="I283" t="s">
        <x:v>87</x:v>
      </x:c>
    </x:row>
    <x:row r="284">
      <x:c r="A284" t="s">
        <x:v>18</x:v>
      </x:c>
      <x:c r="B284">
        <x:v>0.13293488323688499</x:v>
      </x:c>
      <x:c r="C284" t="s">
        <x:v>10</x:v>
      </x:c>
      <x:c r="D284" t="s">
        <x:v>11</x:v>
      </x:c>
      <x:c r="E284" t="s">
        <x:v>86</x:v>
      </x:c>
      <x:c r="F284" t="s">
        <x:v>13</x:v>
      </x:c>
      <x:c r="G284" t="s">
        <x:v>27</x:v>
      </x:c>
      <x:c r="H284" t="s">
        <x:v>15</x:v>
      </x:c>
      <x:c r="I284" t="s">
        <x:v>87</x:v>
      </x:c>
    </x:row>
    <x:row r="285">
      <x:c r="A285" t="s">
        <x:v>19</x:v>
      </x:c>
      <x:c r="B285">
        <x:v>0.36460236318060901</x:v>
      </x:c>
      <x:c r="C285" t="s">
        <x:v>10</x:v>
      </x:c>
      <x:c r="D285" t="s">
        <x:v>11</x:v>
      </x:c>
      <x:c r="E285" t="s">
        <x:v>86</x:v>
      </x:c>
      <x:c r="F285" t="s">
        <x:v>13</x:v>
      </x:c>
      <x:c r="G285" t="s">
        <x:v>27</x:v>
      </x:c>
      <x:c r="H285" t="s">
        <x:v>15</x:v>
      </x:c>
      <x:c r="I285" t="s">
        <x:v>87</x:v>
      </x:c>
    </x:row>
    <x:row r="286">
      <x:c r="A286" t="s">
        <x:v>20</x:v>
      </x:c>
      <x:c r="B286">
        <x:v>26109554982912</x:v>
      </x:c>
      <x:c r="C286" t="s">
        <x:v>10</x:v>
      </x:c>
      <x:c r="D286" t="s">
        <x:v>11</x:v>
      </x:c>
      <x:c r="E286" t="s">
        <x:v>86</x:v>
      </x:c>
      <x:c r="F286" t="s">
        <x:v>13</x:v>
      </x:c>
      <x:c r="G286" t="s">
        <x:v>27</x:v>
      </x:c>
      <x:c r="H286" t="s">
        <x:v>15</x:v>
      </x:c>
      <x:c r="I286" t="s">
        <x:v>87</x:v>
      </x:c>
    </x:row>
    <x:row r="287">
      <x:c r="A287" t="s">
        <x:v>9</x:v>
      </x:c>
      <x:c r="B287">
        <x:v>0.932445382887789</x:v>
      </x:c>
      <x:c r="C287" t="s">
        <x:v>10</x:v>
      </x:c>
      <x:c r="D287" t="s">
        <x:v>21</x:v>
      </x:c>
      <x:c r="E287" t="s">
        <x:v>88</x:v>
      </x:c>
      <x:c r="F287" t="s">
        <x:v>13</x:v>
      </x:c>
      <x:c r="G287" t="s">
        <x:v>27</x:v>
      </x:c>
      <x:c r="H287" t="s">
        <x:v>15</x:v>
      </x:c>
      <x:c r="I287" t="s">
        <x:v>87</x:v>
      </x:c>
    </x:row>
    <x:row r="288">
      <x:c r="A288" t="s">
        <x:v>17</x:v>
      </x:c>
      <x:c r="B288">
        <x:v>0.272079437971115</x:v>
      </x:c>
      <x:c r="C288" t="s">
        <x:v>10</x:v>
      </x:c>
      <x:c r="D288" t="s">
        <x:v>21</x:v>
      </x:c>
      <x:c r="E288" t="s">
        <x:v>88</x:v>
      </x:c>
      <x:c r="F288" t="s">
        <x:v>13</x:v>
      </x:c>
      <x:c r="G288" t="s">
        <x:v>27</x:v>
      </x:c>
      <x:c r="H288" t="s">
        <x:v>15</x:v>
      </x:c>
      <x:c r="I288" t="s">
        <x:v>87</x:v>
      </x:c>
    </x:row>
    <x:row r="289">
      <x:c r="A289" t="s">
        <x:v>18</x:v>
      </x:c>
      <x:c r="B289">
        <x:v>0.13293488323688499</x:v>
      </x:c>
      <x:c r="C289" t="s">
        <x:v>10</x:v>
      </x:c>
      <x:c r="D289" t="s">
        <x:v>21</x:v>
      </x:c>
      <x:c r="E289" t="s">
        <x:v>88</x:v>
      </x:c>
      <x:c r="F289" t="s">
        <x:v>13</x:v>
      </x:c>
      <x:c r="G289" t="s">
        <x:v>27</x:v>
      </x:c>
      <x:c r="H289" t="s">
        <x:v>15</x:v>
      </x:c>
      <x:c r="I289" t="s">
        <x:v>87</x:v>
      </x:c>
    </x:row>
    <x:row r="290">
      <x:c r="A290" t="s">
        <x:v>19</x:v>
      </x:c>
      <x:c r="B290">
        <x:v>0.36460236318060901</x:v>
      </x:c>
      <x:c r="C290" t="s">
        <x:v>10</x:v>
      </x:c>
      <x:c r="D290" t="s">
        <x:v>21</x:v>
      </x:c>
      <x:c r="E290" t="s">
        <x:v>88</x:v>
      </x:c>
      <x:c r="F290" t="s">
        <x:v>13</x:v>
      </x:c>
      <x:c r="G290" t="s">
        <x:v>27</x:v>
      </x:c>
      <x:c r="H290" t="s">
        <x:v>15</x:v>
      </x:c>
      <x:c r="I290" t="s">
        <x:v>87</x:v>
      </x:c>
    </x:row>
    <x:row r="291">
      <x:c r="A291" t="s">
        <x:v>20</x:v>
      </x:c>
      <x:c r="B291">
        <x:v>26109554982912</x:v>
      </x:c>
      <x:c r="C291" t="s">
        <x:v>10</x:v>
      </x:c>
      <x:c r="D291" t="s">
        <x:v>21</x:v>
      </x:c>
      <x:c r="E291" t="s">
        <x:v>88</x:v>
      </x:c>
      <x:c r="F291" t="s">
        <x:v>13</x:v>
      </x:c>
      <x:c r="G291" t="s">
        <x:v>27</x:v>
      </x:c>
      <x:c r="H291" t="s">
        <x:v>15</x:v>
      </x:c>
      <x:c r="I291" t="s">
        <x:v>87</x:v>
      </x:c>
    </x:row>
    <x:row r="292">
      <x:c r="A292" t="s">
        <x:v>9</x:v>
      </x:c>
      <x:c r="B292">
        <x:v>0.90763750442132296</x:v>
      </x:c>
      <x:c r="C292" t="s">
        <x:v>23</x:v>
      </x:c>
      <x:c r="D292" t="s">
        <x:v>21</x:v>
      </x:c>
      <x:c r="E292" t="s">
        <x:v>89</x:v>
      </x:c>
      <x:c r="F292" t="s">
        <x:v>13</x:v>
      </x:c>
      <x:c r="G292" t="s">
        <x:v>27</x:v>
      </x:c>
      <x:c r="H292" t="s">
        <x:v>15</x:v>
      </x:c>
      <x:c r="I292" t="s">
        <x:v>87</x:v>
      </x:c>
    </x:row>
    <x:row r="293">
      <x:c r="A293" t="s">
        <x:v>17</x:v>
      </x:c>
      <x:c r="B293">
        <x:v>0.39512392878532399</x:v>
      </x:c>
      <x:c r="C293" t="s">
        <x:v>23</x:v>
      </x:c>
      <x:c r="D293" t="s">
        <x:v>21</x:v>
      </x:c>
      <x:c r="E293" t="s">
        <x:v>89</x:v>
      </x:c>
      <x:c r="F293" t="s">
        <x:v>13</x:v>
      </x:c>
      <x:c r="G293" t="s">
        <x:v>27</x:v>
      </x:c>
      <x:c r="H293" t="s">
        <x:v>15</x:v>
      </x:c>
      <x:c r="I293" t="s">
        <x:v>87</x:v>
      </x:c>
    </x:row>
    <x:row r="294">
      <x:c r="A294" t="s">
        <x:v>18</x:v>
      </x:c>
      <x:c r="B294">
        <x:v>0.45678761601447998</x:v>
      </x:c>
      <x:c r="C294" t="s">
        <x:v>23</x:v>
      </x:c>
      <x:c r="D294" t="s">
        <x:v>21</x:v>
      </x:c>
      <x:c r="E294" t="s">
        <x:v>89</x:v>
      </x:c>
      <x:c r="F294" t="s">
        <x:v>13</x:v>
      </x:c>
      <x:c r="G294" t="s">
        <x:v>27</x:v>
      </x:c>
      <x:c r="H294" t="s">
        <x:v>15</x:v>
      </x:c>
      <x:c r="I294" t="s">
        <x:v>87</x:v>
      </x:c>
    </x:row>
    <x:row r="295">
      <x:c r="A295" t="s">
        <x:v>19</x:v>
      </x:c>
      <x:c r="B295">
        <x:v>0.67586064836952897</x:v>
      </x:c>
      <x:c r="C295" t="s">
        <x:v>23</x:v>
      </x:c>
      <x:c r="D295" t="s">
        <x:v>21</x:v>
      </x:c>
      <x:c r="E295" t="s">
        <x:v>89</x:v>
      </x:c>
      <x:c r="F295" t="s">
        <x:v>13</x:v>
      </x:c>
      <x:c r="G295" t="s">
        <x:v>27</x:v>
      </x:c>
      <x:c r="H295" t="s">
        <x:v>15</x:v>
      </x:c>
      <x:c r="I295" t="s">
        <x:v>87</x:v>
      </x:c>
    </x:row>
    <x:row r="296">
      <x:c r="A296" t="s">
        <x:v>20</x:v>
      </x:c>
      <x:c r="B296">
        <x:v>44142692401152</x:v>
      </x:c>
      <x:c r="C296" t="s">
        <x:v>23</x:v>
      </x:c>
      <x:c r="D296" t="s">
        <x:v>21</x:v>
      </x:c>
      <x:c r="E296" t="s">
        <x:v>89</x:v>
      </x:c>
      <x:c r="F296" t="s">
        <x:v>13</x:v>
      </x:c>
      <x:c r="G296" t="s">
        <x:v>27</x:v>
      </x:c>
      <x:c r="H296" t="s">
        <x:v>15</x:v>
      </x:c>
      <x:c r="I296" t="s">
        <x:v>87</x:v>
      </x:c>
    </x:row>
    <x:row r="297">
      <x:c r="A297" t="s">
        <x:v>9</x:v>
      </x:c>
      <x:c r="B297">
        <x:v>0.90763750442132296</x:v>
      </x:c>
      <x:c r="C297" t="s">
        <x:v>23</x:v>
      </x:c>
      <x:c r="D297" t="s">
        <x:v>11</x:v>
      </x:c>
      <x:c r="E297" t="s">
        <x:v>90</x:v>
      </x:c>
      <x:c r="F297" t="s">
        <x:v>13</x:v>
      </x:c>
      <x:c r="G297" t="s">
        <x:v>27</x:v>
      </x:c>
      <x:c r="H297" t="s">
        <x:v>15</x:v>
      </x:c>
      <x:c r="I297" t="s">
        <x:v>87</x:v>
      </x:c>
    </x:row>
    <x:row r="298">
      <x:c r="A298" t="s">
        <x:v>17</x:v>
      </x:c>
      <x:c r="B298">
        <x:v>0.39512392878532399</x:v>
      </x:c>
      <x:c r="C298" t="s">
        <x:v>23</x:v>
      </x:c>
      <x:c r="D298" t="s">
        <x:v>11</x:v>
      </x:c>
      <x:c r="E298" t="s">
        <x:v>90</x:v>
      </x:c>
      <x:c r="F298" t="s">
        <x:v>13</x:v>
      </x:c>
      <x:c r="G298" t="s">
        <x:v>27</x:v>
      </x:c>
      <x:c r="H298" t="s">
        <x:v>15</x:v>
      </x:c>
      <x:c r="I298" t="s">
        <x:v>87</x:v>
      </x:c>
    </x:row>
    <x:row r="299">
      <x:c r="A299" t="s">
        <x:v>18</x:v>
      </x:c>
      <x:c r="B299">
        <x:v>0.45678761601447998</x:v>
      </x:c>
      <x:c r="C299" t="s">
        <x:v>23</x:v>
      </x:c>
      <x:c r="D299" t="s">
        <x:v>11</x:v>
      </x:c>
      <x:c r="E299" t="s">
        <x:v>90</x:v>
      </x:c>
      <x:c r="F299" t="s">
        <x:v>13</x:v>
      </x:c>
      <x:c r="G299" t="s">
        <x:v>27</x:v>
      </x:c>
      <x:c r="H299" t="s">
        <x:v>15</x:v>
      </x:c>
      <x:c r="I299" t="s">
        <x:v>87</x:v>
      </x:c>
    </x:row>
    <x:row r="300">
      <x:c r="A300" t="s">
        <x:v>19</x:v>
      </x:c>
      <x:c r="B300">
        <x:v>0.67586064836952897</x:v>
      </x:c>
      <x:c r="C300" t="s">
        <x:v>23</x:v>
      </x:c>
      <x:c r="D300" t="s">
        <x:v>11</x:v>
      </x:c>
      <x:c r="E300" t="s">
        <x:v>90</x:v>
      </x:c>
      <x:c r="F300" t="s">
        <x:v>13</x:v>
      </x:c>
      <x:c r="G300" t="s">
        <x:v>27</x:v>
      </x:c>
      <x:c r="H300" t="s">
        <x:v>15</x:v>
      </x:c>
      <x:c r="I300" t="s">
        <x:v>87</x:v>
      </x:c>
    </x:row>
    <x:row r="301">
      <x:c r="A301" t="s">
        <x:v>20</x:v>
      </x:c>
      <x:c r="B301">
        <x:v>44142692401152</x:v>
      </x:c>
      <x:c r="C301" t="s">
        <x:v>23</x:v>
      </x:c>
      <x:c r="D301" t="s">
        <x:v>11</x:v>
      </x:c>
      <x:c r="E301" t="s">
        <x:v>90</x:v>
      </x:c>
      <x:c r="F301" t="s">
        <x:v>13</x:v>
      </x:c>
      <x:c r="G301" t="s">
        <x:v>27</x:v>
      </x:c>
      <x:c r="H301" t="s">
        <x:v>15</x:v>
      </x:c>
      <x:c r="I301" t="s">
        <x:v>87</x:v>
      </x:c>
    </x:row>
    <x:row r="302">
      <x:c r="A302" t="s">
        <x:v>9</x:v>
      </x:c>
      <x:c r="B302">
        <x:v>0.91479834292532503</x:v>
      </x:c>
      <x:c r="C302" t="s">
        <x:v>10</x:v>
      </x:c>
      <x:c r="D302" t="s">
        <x:v>11</x:v>
      </x:c>
      <x:c r="E302" t="s">
        <x:v>91</x:v>
      </x:c>
      <x:c r="F302" t="s">
        <x:v>33</x:v>
      </x:c>
      <x:c r="G302" t="s">
        <x:v>27</x:v>
      </x:c>
      <x:c r="I302" t="s">
        <x:v>92</x:v>
      </x:c>
    </x:row>
    <x:row r="303">
      <x:c r="A303" t="s">
        <x:v>17</x:v>
      </x:c>
      <x:c r="B303">
        <x:v>0.32470318675041199</x:v>
      </x:c>
      <x:c r="C303" t="s">
        <x:v>10</x:v>
      </x:c>
      <x:c r="D303" t="s">
        <x:v>11</x:v>
      </x:c>
      <x:c r="E303" t="s">
        <x:v>91</x:v>
      </x:c>
      <x:c r="F303" t="s">
        <x:v>33</x:v>
      </x:c>
      <x:c r="G303" t="s">
        <x:v>27</x:v>
      </x:c>
      <x:c r="I303" t="s">
        <x:v>92</x:v>
      </x:c>
    </x:row>
    <x:row r="304">
      <x:c r="A304" t="s">
        <x:v>18</x:v>
      </x:c>
      <x:c r="B304">
        <x:v>0.190899983048439</x:v>
      </x:c>
      <x:c r="C304" t="s">
        <x:v>10</x:v>
      </x:c>
      <x:c r="D304" t="s">
        <x:v>11</x:v>
      </x:c>
      <x:c r="E304" t="s">
        <x:v>91</x:v>
      </x:c>
      <x:c r="F304" t="s">
        <x:v>33</x:v>
      </x:c>
      <x:c r="G304" t="s">
        <x:v>27</x:v>
      </x:c>
      <x:c r="I304" t="s">
        <x:v>92</x:v>
      </x:c>
    </x:row>
    <x:row r="305">
      <x:c r="A305" t="s">
        <x:v>19</x:v>
      </x:c>
      <x:c r="B305">
        <x:v>0.43692102610018502</x:v>
      </x:c>
      <x:c r="C305" t="s">
        <x:v>10</x:v>
      </x:c>
      <x:c r="D305" t="s">
        <x:v>11</x:v>
      </x:c>
      <x:c r="E305" t="s">
        <x:v>91</x:v>
      </x:c>
      <x:c r="F305" t="s">
        <x:v>33</x:v>
      </x:c>
      <x:c r="G305" t="s">
        <x:v>27</x:v>
      </x:c>
      <x:c r="I305" t="s">
        <x:v>92</x:v>
      </x:c>
    </x:row>
    <x:row r="306">
      <x:c r="A306" t="s">
        <x:v>20</x:v>
      </x:c>
      <x:c r="B306">
        <x:v>49692490596352</x:v>
      </x:c>
      <x:c r="C306" t="s">
        <x:v>10</x:v>
      </x:c>
      <x:c r="D306" t="s">
        <x:v>11</x:v>
      </x:c>
      <x:c r="E306" t="s">
        <x:v>91</x:v>
      </x:c>
      <x:c r="F306" t="s">
        <x:v>33</x:v>
      </x:c>
      <x:c r="G306" t="s">
        <x:v>27</x:v>
      </x:c>
      <x:c r="I306" t="s">
        <x:v>92</x:v>
      </x:c>
    </x:row>
    <x:row r="307">
      <x:c r="A307" t="s">
        <x:v>9</x:v>
      </x:c>
      <x:c r="B307">
        <x:v>0.91479834292532503</x:v>
      </x:c>
      <x:c r="C307" t="s">
        <x:v>10</x:v>
      </x:c>
      <x:c r="D307" t="s">
        <x:v>21</x:v>
      </x:c>
      <x:c r="E307" t="s">
        <x:v>93</x:v>
      </x:c>
      <x:c r="F307" t="s">
        <x:v>33</x:v>
      </x:c>
      <x:c r="G307" t="s">
        <x:v>27</x:v>
      </x:c>
      <x:c r="I307" t="s">
        <x:v>92</x:v>
      </x:c>
    </x:row>
    <x:row r="308">
      <x:c r="A308" t="s">
        <x:v>17</x:v>
      </x:c>
      <x:c r="B308">
        <x:v>0.32470318675041199</x:v>
      </x:c>
      <x:c r="C308" t="s">
        <x:v>10</x:v>
      </x:c>
      <x:c r="D308" t="s">
        <x:v>21</x:v>
      </x:c>
      <x:c r="E308" t="s">
        <x:v>93</x:v>
      </x:c>
      <x:c r="F308" t="s">
        <x:v>33</x:v>
      </x:c>
      <x:c r="G308" t="s">
        <x:v>27</x:v>
      </x:c>
      <x:c r="I308" t="s">
        <x:v>92</x:v>
      </x:c>
    </x:row>
    <x:row r="309">
      <x:c r="A309" t="s">
        <x:v>18</x:v>
      </x:c>
      <x:c r="B309">
        <x:v>0.190899983048439</x:v>
      </x:c>
      <x:c r="C309" t="s">
        <x:v>10</x:v>
      </x:c>
      <x:c r="D309" t="s">
        <x:v>21</x:v>
      </x:c>
      <x:c r="E309" t="s">
        <x:v>93</x:v>
      </x:c>
      <x:c r="F309" t="s">
        <x:v>33</x:v>
      </x:c>
      <x:c r="G309" t="s">
        <x:v>27</x:v>
      </x:c>
      <x:c r="I309" t="s">
        <x:v>92</x:v>
      </x:c>
    </x:row>
    <x:row r="310">
      <x:c r="A310" t="s">
        <x:v>19</x:v>
      </x:c>
      <x:c r="B310">
        <x:v>0.43692102610018502</x:v>
      </x:c>
      <x:c r="C310" t="s">
        <x:v>10</x:v>
      </x:c>
      <x:c r="D310" t="s">
        <x:v>21</x:v>
      </x:c>
      <x:c r="E310" t="s">
        <x:v>93</x:v>
      </x:c>
      <x:c r="F310" t="s">
        <x:v>33</x:v>
      </x:c>
      <x:c r="G310" t="s">
        <x:v>27</x:v>
      </x:c>
      <x:c r="I310" t="s">
        <x:v>92</x:v>
      </x:c>
    </x:row>
    <x:row r="311">
      <x:c r="A311" t="s">
        <x:v>20</x:v>
      </x:c>
      <x:c r="B311">
        <x:v>49692490596352</x:v>
      </x:c>
      <x:c r="C311" t="s">
        <x:v>10</x:v>
      </x:c>
      <x:c r="D311" t="s">
        <x:v>21</x:v>
      </x:c>
      <x:c r="E311" t="s">
        <x:v>93</x:v>
      </x:c>
      <x:c r="F311" t="s">
        <x:v>33</x:v>
      </x:c>
      <x:c r="G311" t="s">
        <x:v>27</x:v>
      </x:c>
      <x:c r="I311" t="s">
        <x:v>92</x:v>
      </x:c>
    </x:row>
    <x:row r="312">
      <x:c r="A312" t="s">
        <x:v>9</x:v>
      </x:c>
      <x:c r="B312">
        <x:v>0.91089867219071097</x:v>
      </x:c>
      <x:c r="C312" t="s">
        <x:v>23</x:v>
      </x:c>
      <x:c r="D312" t="s">
        <x:v>21</x:v>
      </x:c>
      <x:c r="E312" t="s">
        <x:v>94</x:v>
      </x:c>
      <x:c r="F312" t="s">
        <x:v>33</x:v>
      </x:c>
      <x:c r="G312" t="s">
        <x:v>27</x:v>
      </x:c>
      <x:c r="I312" t="s">
        <x:v>92</x:v>
      </x:c>
    </x:row>
    <x:row r="313">
      <x:c r="A313" t="s">
        <x:v>17</x:v>
      </x:c>
      <x:c r="B313">
        <x:v>0.295566946268081</x:v>
      </x:c>
      <x:c r="C313" t="s">
        <x:v>23</x:v>
      </x:c>
      <x:c r="D313" t="s">
        <x:v>21</x:v>
      </x:c>
      <x:c r="E313" t="s">
        <x:v>94</x:v>
      </x:c>
      <x:c r="F313" t="s">
        <x:v>33</x:v>
      </x:c>
      <x:c r="G313" t="s">
        <x:v>27</x:v>
      </x:c>
      <x:c r="I313" t="s">
        <x:v>92</x:v>
      </x:c>
    </x:row>
    <x:row r="314">
      <x:c r="A314" t="s">
        <x:v>18</x:v>
      </x:c>
      <x:c r="B314">
        <x:v>0.26235750317573497</x:v>
      </x:c>
      <x:c r="C314" t="s">
        <x:v>23</x:v>
      </x:c>
      <x:c r="D314" t="s">
        <x:v>21</x:v>
      </x:c>
      <x:c r="E314" t="s">
        <x:v>94</x:v>
      </x:c>
      <x:c r="F314" t="s">
        <x:v>33</x:v>
      </x:c>
      <x:c r="G314" t="s">
        <x:v>27</x:v>
      </x:c>
      <x:c r="I314" t="s">
        <x:v>92</x:v>
      </x:c>
    </x:row>
    <x:row r="315">
      <x:c r="A315" t="s">
        <x:v>19</x:v>
      </x:c>
      <x:c r="B315">
        <x:v>0.51220845675929105</x:v>
      </x:c>
      <x:c r="C315" t="s">
        <x:v>23</x:v>
      </x:c>
      <x:c r="D315" t="s">
        <x:v>21</x:v>
      </x:c>
      <x:c r="E315" t="s">
        <x:v>94</x:v>
      </x:c>
      <x:c r="F315" t="s">
        <x:v>33</x:v>
      </x:c>
      <x:c r="G315" t="s">
        <x:v>27</x:v>
      </x:c>
      <x:c r="I315" t="s">
        <x:v>92</x:v>
      </x:c>
    </x:row>
    <x:row r="316">
      <x:c r="A316" t="s">
        <x:v>20</x:v>
      </x:c>
      <x:c r="B316">
        <x:v>118770844565504</x:v>
      </x:c>
      <x:c r="C316" t="s">
        <x:v>23</x:v>
      </x:c>
      <x:c r="D316" t="s">
        <x:v>21</x:v>
      </x:c>
      <x:c r="E316" t="s">
        <x:v>94</x:v>
      </x:c>
      <x:c r="F316" t="s">
        <x:v>33</x:v>
      </x:c>
      <x:c r="G316" t="s">
        <x:v>27</x:v>
      </x:c>
      <x:c r="I316" t="s">
        <x:v>92</x:v>
      </x:c>
    </x:row>
    <x:row r="317">
      <x:c r="A317" t="s">
        <x:v>9</x:v>
      </x:c>
      <x:c r="B317">
        <x:v>0.91089867219071097</x:v>
      </x:c>
      <x:c r="C317" t="s">
        <x:v>23</x:v>
      </x:c>
      <x:c r="D317" t="s">
        <x:v>11</x:v>
      </x:c>
      <x:c r="E317" t="s">
        <x:v>95</x:v>
      </x:c>
      <x:c r="F317" t="s">
        <x:v>33</x:v>
      </x:c>
      <x:c r="G317" t="s">
        <x:v>27</x:v>
      </x:c>
      <x:c r="I317" t="s">
        <x:v>92</x:v>
      </x:c>
    </x:row>
    <x:row r="318">
      <x:c r="A318" t="s">
        <x:v>17</x:v>
      </x:c>
      <x:c r="B318">
        <x:v>0.295566946268081</x:v>
      </x:c>
      <x:c r="C318" t="s">
        <x:v>23</x:v>
      </x:c>
      <x:c r="D318" t="s">
        <x:v>11</x:v>
      </x:c>
      <x:c r="E318" t="s">
        <x:v>95</x:v>
      </x:c>
      <x:c r="F318" t="s">
        <x:v>33</x:v>
      </x:c>
      <x:c r="G318" t="s">
        <x:v>27</x:v>
      </x:c>
      <x:c r="I318" t="s">
        <x:v>92</x:v>
      </x:c>
    </x:row>
    <x:row r="319">
      <x:c r="A319" t="s">
        <x:v>18</x:v>
      </x:c>
      <x:c r="B319">
        <x:v>0.26235750317573497</x:v>
      </x:c>
      <x:c r="C319" t="s">
        <x:v>23</x:v>
      </x:c>
      <x:c r="D319" t="s">
        <x:v>11</x:v>
      </x:c>
      <x:c r="E319" t="s">
        <x:v>95</x:v>
      </x:c>
      <x:c r="F319" t="s">
        <x:v>33</x:v>
      </x:c>
      <x:c r="G319" t="s">
        <x:v>27</x:v>
      </x:c>
      <x:c r="I319" t="s">
        <x:v>92</x:v>
      </x:c>
    </x:row>
    <x:row r="320">
      <x:c r="A320" t="s">
        <x:v>19</x:v>
      </x:c>
      <x:c r="B320">
        <x:v>0.51220845675929105</x:v>
      </x:c>
      <x:c r="C320" t="s">
        <x:v>23</x:v>
      </x:c>
      <x:c r="D320" t="s">
        <x:v>11</x:v>
      </x:c>
      <x:c r="E320" t="s">
        <x:v>95</x:v>
      </x:c>
      <x:c r="F320" t="s">
        <x:v>33</x:v>
      </x:c>
      <x:c r="G320" t="s">
        <x:v>27</x:v>
      </x:c>
      <x:c r="I320" t="s">
        <x:v>92</x:v>
      </x:c>
    </x:row>
    <x:row r="321">
      <x:c r="A321" t="s">
        <x:v>20</x:v>
      </x:c>
      <x:c r="B321">
        <x:v>118770844565504</x:v>
      </x:c>
      <x:c r="C321" t="s">
        <x:v>23</x:v>
      </x:c>
      <x:c r="D321" t="s">
        <x:v>11</x:v>
      </x:c>
      <x:c r="E321" t="s">
        <x:v>95</x:v>
      </x:c>
      <x:c r="F321" t="s">
        <x:v>33</x:v>
      </x:c>
      <x:c r="G321" t="s">
        <x:v>27</x:v>
      </x:c>
      <x:c r="I321" t="s">
        <x:v>92</x:v>
      </x:c>
    </x:row>
    <x:row r="322">
      <x:c r="A322" t="s">
        <x:v>9</x:v>
      </x:c>
      <x:c r="B322">
        <x:v>0.94312335760937205</x:v>
      </x:c>
      <x:c r="C322" t="s">
        <x:v>10</x:v>
      </x:c>
      <x:c r="D322" t="s">
        <x:v>11</x:v>
      </x:c>
      <x:c r="E322" t="s">
        <x:v>96</x:v>
      </x:c>
      <x:c r="F322" t="s">
        <x:v>13</x:v>
      </x:c>
      <x:c r="G322" t="s">
        <x:v>27</x:v>
      </x:c>
      <x:c r="I322" t="s">
        <x:v>97</x:v>
      </x:c>
    </x:row>
    <x:row r="323">
      <x:c r="A323" t="s">
        <x:v>17</x:v>
      </x:c>
      <x:c r="B323">
        <x:v>0.72311520576476995</x:v>
      </x:c>
      <x:c r="C323" t="s">
        <x:v>10</x:v>
      </x:c>
      <x:c r="D323" t="s">
        <x:v>11</x:v>
      </x:c>
      <x:c r="E323" t="s">
        <x:v>96</x:v>
      </x:c>
      <x:c r="F323" t="s">
        <x:v>13</x:v>
      </x:c>
      <x:c r="G323" t="s">
        <x:v>27</x:v>
      </x:c>
      <x:c r="I323" t="s">
        <x:v>97</x:v>
      </x:c>
    </x:row>
    <x:row r="324">
      <x:c r="A324" t="s">
        <x:v>18</x:v>
      </x:c>
      <x:c r="B324">
        <x:v>0.92712527513503995</x:v>
      </x:c>
      <x:c r="C324" t="s">
        <x:v>10</x:v>
      </x:c>
      <x:c r="D324" t="s">
        <x:v>11</x:v>
      </x:c>
      <x:c r="E324" t="s">
        <x:v>96</x:v>
      </x:c>
      <x:c r="F324" t="s">
        <x:v>13</x:v>
      </x:c>
      <x:c r="G324" t="s">
        <x:v>27</x:v>
      </x:c>
      <x:c r="I324" t="s">
        <x:v>97</x:v>
      </x:c>
    </x:row>
    <x:row r="325">
      <x:c r="A325" t="s">
        <x:v>19</x:v>
      </x:c>
      <x:c r="B325">
        <x:v>0.96287344710249401</x:v>
      </x:c>
      <x:c r="C325" t="s">
        <x:v>10</x:v>
      </x:c>
      <x:c r="D325" t="s">
        <x:v>11</x:v>
      </x:c>
      <x:c r="E325" t="s">
        <x:v>96</x:v>
      </x:c>
      <x:c r="F325" t="s">
        <x:v>13</x:v>
      </x:c>
      <x:c r="G325" t="s">
        <x:v>27</x:v>
      </x:c>
      <x:c r="I325" t="s">
        <x:v>97</x:v>
      </x:c>
    </x:row>
    <x:row r="326">
      <x:c r="A326" t="s">
        <x:v>20</x:v>
      </x:c>
      <x:c r="B326">
        <x:v>8976760569856</x:v>
      </x:c>
      <x:c r="C326" t="s">
        <x:v>10</x:v>
      </x:c>
      <x:c r="D326" t="s">
        <x:v>11</x:v>
      </x:c>
      <x:c r="E326" t="s">
        <x:v>96</x:v>
      </x:c>
      <x:c r="F326" t="s">
        <x:v>13</x:v>
      </x:c>
      <x:c r="G326" t="s">
        <x:v>27</x:v>
      </x:c>
      <x:c r="I326" t="s">
        <x:v>97</x:v>
      </x:c>
    </x:row>
    <x:row r="327">
      <x:c r="A327" t="s">
        <x:v>9</x:v>
      </x:c>
      <x:c r="B327">
        <x:v>0.94312335760937205</x:v>
      </x:c>
      <x:c r="C327" t="s">
        <x:v>10</x:v>
      </x:c>
      <x:c r="D327" t="s">
        <x:v>21</x:v>
      </x:c>
      <x:c r="E327" t="s">
        <x:v>98</x:v>
      </x:c>
      <x:c r="F327" t="s">
        <x:v>13</x:v>
      </x:c>
      <x:c r="G327" t="s">
        <x:v>27</x:v>
      </x:c>
      <x:c r="I327" t="s">
        <x:v>97</x:v>
      </x:c>
    </x:row>
    <x:row r="328">
      <x:c r="A328" t="s">
        <x:v>17</x:v>
      </x:c>
      <x:c r="B328">
        <x:v>0.72311520576476995</x:v>
      </x:c>
      <x:c r="C328" t="s">
        <x:v>10</x:v>
      </x:c>
      <x:c r="D328" t="s">
        <x:v>21</x:v>
      </x:c>
      <x:c r="E328" t="s">
        <x:v>98</x:v>
      </x:c>
      <x:c r="F328" t="s">
        <x:v>13</x:v>
      </x:c>
      <x:c r="G328" t="s">
        <x:v>27</x:v>
      </x:c>
      <x:c r="I328" t="s">
        <x:v>97</x:v>
      </x:c>
    </x:row>
    <x:row r="329">
      <x:c r="A329" t="s">
        <x:v>18</x:v>
      </x:c>
      <x:c r="B329">
        <x:v>0.92712527513503995</x:v>
      </x:c>
      <x:c r="C329" t="s">
        <x:v>10</x:v>
      </x:c>
      <x:c r="D329" t="s">
        <x:v>21</x:v>
      </x:c>
      <x:c r="E329" t="s">
        <x:v>98</x:v>
      </x:c>
      <x:c r="F329" t="s">
        <x:v>13</x:v>
      </x:c>
      <x:c r="G329" t="s">
        <x:v>27</x:v>
      </x:c>
      <x:c r="I329" t="s">
        <x:v>97</x:v>
      </x:c>
    </x:row>
    <x:row r="330">
      <x:c r="A330" t="s">
        <x:v>19</x:v>
      </x:c>
      <x:c r="B330">
        <x:v>0.96287344710249401</x:v>
      </x:c>
      <x:c r="C330" t="s">
        <x:v>10</x:v>
      </x:c>
      <x:c r="D330" t="s">
        <x:v>21</x:v>
      </x:c>
      <x:c r="E330" t="s">
        <x:v>98</x:v>
      </x:c>
      <x:c r="F330" t="s">
        <x:v>13</x:v>
      </x:c>
      <x:c r="G330" t="s">
        <x:v>27</x:v>
      </x:c>
      <x:c r="I330" t="s">
        <x:v>97</x:v>
      </x:c>
    </x:row>
    <x:row r="331">
      <x:c r="A331" t="s">
        <x:v>20</x:v>
      </x:c>
      <x:c r="B331">
        <x:v>8976760569856</x:v>
      </x:c>
      <x:c r="C331" t="s">
        <x:v>10</x:v>
      </x:c>
      <x:c r="D331" t="s">
        <x:v>21</x:v>
      </x:c>
      <x:c r="E331" t="s">
        <x:v>98</x:v>
      </x:c>
      <x:c r="F331" t="s">
        <x:v>13</x:v>
      </x:c>
      <x:c r="G331" t="s">
        <x:v>27</x:v>
      </x:c>
      <x:c r="I331" t="s">
        <x:v>97</x:v>
      </x:c>
    </x:row>
    <x:row r="332">
      <x:c r="A332" t="s">
        <x:v>9</x:v>
      </x:c>
      <x:c r="B332">
        <x:v>0.91652418456932105</x:v>
      </x:c>
      <x:c r="C332" t="s">
        <x:v>23</x:v>
      </x:c>
      <x:c r="D332" t="s">
        <x:v>21</x:v>
      </x:c>
      <x:c r="E332" t="s">
        <x:v>99</x:v>
      </x:c>
      <x:c r="F332" t="s">
        <x:v>13</x:v>
      </x:c>
      <x:c r="G332" t="s">
        <x:v>27</x:v>
      </x:c>
      <x:c r="I332" t="s">
        <x:v>97</x:v>
      </x:c>
    </x:row>
    <x:row r="333">
      <x:c r="A333" t="s">
        <x:v>17</x:v>
      </x:c>
      <x:c r="B333">
        <x:v>0.32997462153434698</x:v>
      </x:c>
      <x:c r="C333" t="s">
        <x:v>23</x:v>
      </x:c>
      <x:c r="D333" t="s">
        <x:v>21</x:v>
      </x:c>
      <x:c r="E333" t="s">
        <x:v>99</x:v>
      </x:c>
      <x:c r="F333" t="s">
        <x:v>13</x:v>
      </x:c>
      <x:c r="G333" t="s">
        <x:v>27</x:v>
      </x:c>
      <x:c r="I333" t="s">
        <x:v>97</x:v>
      </x:c>
    </x:row>
    <x:row r="334">
      <x:c r="A334" t="s">
        <x:v>18</x:v>
      </x:c>
      <x:c r="B334">
        <x:v>0.23205676674842801</x:v>
      </x:c>
      <x:c r="C334" t="s">
        <x:v>23</x:v>
      </x:c>
      <x:c r="D334" t="s">
        <x:v>21</x:v>
      </x:c>
      <x:c r="E334" t="s">
        <x:v>99</x:v>
      </x:c>
      <x:c r="F334" t="s">
        <x:v>13</x:v>
      </x:c>
      <x:c r="G334" t="s">
        <x:v>27</x:v>
      </x:c>
      <x:c r="I334" t="s">
        <x:v>97</x:v>
      </x:c>
    </x:row>
    <x:row r="335">
      <x:c r="A335" t="s">
        <x:v>19</x:v>
      </x:c>
      <x:c r="B335">
        <x:v>0.48172270732074501</x:v>
      </x:c>
      <x:c r="C335" t="s">
        <x:v>23</x:v>
      </x:c>
      <x:c r="D335" t="s">
        <x:v>21</x:v>
      </x:c>
      <x:c r="E335" t="s">
        <x:v>99</x:v>
      </x:c>
      <x:c r="F335" t="s">
        <x:v>13</x:v>
      </x:c>
      <x:c r="G335" t="s">
        <x:v>27</x:v>
      </x:c>
      <x:c r="I335" t="s">
        <x:v>97</x:v>
      </x:c>
    </x:row>
    <x:row r="336">
      <x:c r="A336" t="s">
        <x:v>20</x:v>
      </x:c>
      <x:c r="B336">
        <x:v>200753129979904</x:v>
      </x:c>
      <x:c r="C336" t="s">
        <x:v>23</x:v>
      </x:c>
      <x:c r="D336" t="s">
        <x:v>21</x:v>
      </x:c>
      <x:c r="E336" t="s">
        <x:v>99</x:v>
      </x:c>
      <x:c r="F336" t="s">
        <x:v>13</x:v>
      </x:c>
      <x:c r="G336" t="s">
        <x:v>27</x:v>
      </x:c>
      <x:c r="I336" t="s">
        <x:v>97</x:v>
      </x:c>
    </x:row>
    <x:row r="337">
      <x:c r="A337" t="s">
        <x:v>9</x:v>
      </x:c>
      <x:c r="B337">
        <x:v>0.91652418456932105</x:v>
      </x:c>
      <x:c r="C337" t="s">
        <x:v>23</x:v>
      </x:c>
      <x:c r="D337" t="s">
        <x:v>11</x:v>
      </x:c>
      <x:c r="E337" t="s">
        <x:v>100</x:v>
      </x:c>
      <x:c r="F337" t="s">
        <x:v>13</x:v>
      </x:c>
      <x:c r="G337" t="s">
        <x:v>27</x:v>
      </x:c>
      <x:c r="I337" t="s">
        <x:v>97</x:v>
      </x:c>
    </x:row>
    <x:row r="338">
      <x:c r="A338" t="s">
        <x:v>17</x:v>
      </x:c>
      <x:c r="B338">
        <x:v>0.32997462153434698</x:v>
      </x:c>
      <x:c r="C338" t="s">
        <x:v>23</x:v>
      </x:c>
      <x:c r="D338" t="s">
        <x:v>11</x:v>
      </x:c>
      <x:c r="E338" t="s">
        <x:v>100</x:v>
      </x:c>
      <x:c r="F338" t="s">
        <x:v>13</x:v>
      </x:c>
      <x:c r="G338" t="s">
        <x:v>27</x:v>
      </x:c>
      <x:c r="I338" t="s">
        <x:v>97</x:v>
      </x:c>
    </x:row>
    <x:row r="339">
      <x:c r="A339" t="s">
        <x:v>18</x:v>
      </x:c>
      <x:c r="B339">
        <x:v>0.23205676674842801</x:v>
      </x:c>
      <x:c r="C339" t="s">
        <x:v>23</x:v>
      </x:c>
      <x:c r="D339" t="s">
        <x:v>11</x:v>
      </x:c>
      <x:c r="E339" t="s">
        <x:v>100</x:v>
      </x:c>
      <x:c r="F339" t="s">
        <x:v>13</x:v>
      </x:c>
      <x:c r="G339" t="s">
        <x:v>27</x:v>
      </x:c>
      <x:c r="I339" t="s">
        <x:v>97</x:v>
      </x:c>
    </x:row>
    <x:row r="340">
      <x:c r="A340" t="s">
        <x:v>19</x:v>
      </x:c>
      <x:c r="B340">
        <x:v>0.48172270732074501</x:v>
      </x:c>
      <x:c r="C340" t="s">
        <x:v>23</x:v>
      </x:c>
      <x:c r="D340" t="s">
        <x:v>11</x:v>
      </x:c>
      <x:c r="E340" t="s">
        <x:v>100</x:v>
      </x:c>
      <x:c r="F340" t="s">
        <x:v>13</x:v>
      </x:c>
      <x:c r="G340" t="s">
        <x:v>27</x:v>
      </x:c>
      <x:c r="I340" t="s">
        <x:v>97</x:v>
      </x:c>
    </x:row>
    <x:row r="341">
      <x:c r="A341" t="s">
        <x:v>20</x:v>
      </x:c>
      <x:c r="B341">
        <x:v>200753129979904</x:v>
      </x:c>
      <x:c r="C341" t="s">
        <x:v>23</x:v>
      </x:c>
      <x:c r="D341" t="s">
        <x:v>11</x:v>
      </x:c>
      <x:c r="E341" t="s">
        <x:v>100</x:v>
      </x:c>
      <x:c r="F341" t="s">
        <x:v>13</x:v>
      </x:c>
      <x:c r="G341" t="s">
        <x:v>27</x:v>
      </x:c>
      <x:c r="I341" t="s">
        <x:v>97</x:v>
      </x:c>
    </x:row>
    <x:row r="342">
      <x:c r="A342" t="s">
        <x:v>9</x:v>
      </x:c>
      <x:c r="B342">
        <x:v>0.96393404624807799</x:v>
      </x:c>
      <x:c r="C342" t="s">
        <x:v>10</x:v>
      </x:c>
      <x:c r="D342" t="s">
        <x:v>11</x:v>
      </x:c>
      <x:c r="E342" t="s">
        <x:v>101</x:v>
      </x:c>
      <x:c r="F342" t="s">
        <x:v>13</x:v>
      </x:c>
      <x:c r="G342" t="s">
        <x:v>27</x:v>
      </x:c>
      <x:c r="H342" t="s">
        <x:v>34</x:v>
      </x:c>
      <x:c r="I342" t="s">
        <x:v>45</x:v>
      </x:c>
    </x:row>
    <x:row r="343">
      <x:c r="A343" t="s">
        <x:v>17</x:v>
      </x:c>
      <x:c r="B343">
        <x:v>6.2559530138969394E-2</x:v>
      </x:c>
      <x:c r="C343" t="s">
        <x:v>10</x:v>
      </x:c>
      <x:c r="D343" t="s">
        <x:v>11</x:v>
      </x:c>
      <x:c r="E343" t="s">
        <x:v>101</x:v>
      </x:c>
      <x:c r="F343" t="s">
        <x:v>13</x:v>
      </x:c>
      <x:c r="G343" t="s">
        <x:v>27</x:v>
      </x:c>
      <x:c r="H343" t="s">
        <x:v>34</x:v>
      </x:c>
      <x:c r="I343" t="s">
        <x:v>45</x:v>
      </x:c>
    </x:row>
    <x:row r="344">
      <x:c r="A344" t="s">
        <x:v>18</x:v>
      </x:c>
      <x:c r="B344">
        <x:v>1.6571581363677899E-2</x:v>
      </x:c>
      <x:c r="C344" t="s">
        <x:v>10</x:v>
      </x:c>
      <x:c r="D344" t="s">
        <x:v>11</x:v>
      </x:c>
      <x:c r="E344" t="s">
        <x:v>101</x:v>
      </x:c>
      <x:c r="F344" t="s">
        <x:v>13</x:v>
      </x:c>
      <x:c r="G344" t="s">
        <x:v>27</x:v>
      </x:c>
      <x:c r="H344" t="s">
        <x:v>34</x:v>
      </x:c>
      <x:c r="I344" t="s">
        <x:v>45</x:v>
      </x:c>
    </x:row>
    <x:row r="345">
      <x:c r="A345" t="s">
        <x:v>19</x:v>
      </x:c>
      <x:c r="B345">
        <x:v>0.12873065432785599</x:v>
      </x:c>
      <x:c r="C345" t="s">
        <x:v>10</x:v>
      </x:c>
      <x:c r="D345" t="s">
        <x:v>11</x:v>
      </x:c>
      <x:c r="E345" t="s">
        <x:v>101</x:v>
      </x:c>
      <x:c r="F345" t="s">
        <x:v>13</x:v>
      </x:c>
      <x:c r="G345" t="s">
        <x:v>27</x:v>
      </x:c>
      <x:c r="H345" t="s">
        <x:v>34</x:v>
      </x:c>
      <x:c r="I345" t="s">
        <x:v>45</x:v>
      </x:c>
    </x:row>
    <x:row r="346">
      <x:c r="A346" t="s">
        <x:v>20</x:v>
      </x:c>
      <x:c r="B346">
        <x:v>38025379708928</x:v>
      </x:c>
      <x:c r="C346" t="s">
        <x:v>10</x:v>
      </x:c>
      <x:c r="D346" t="s">
        <x:v>11</x:v>
      </x:c>
      <x:c r="E346" t="s">
        <x:v>101</x:v>
      </x:c>
      <x:c r="F346" t="s">
        <x:v>13</x:v>
      </x:c>
      <x:c r="G346" t="s">
        <x:v>27</x:v>
      </x:c>
      <x:c r="H346" t="s">
        <x:v>34</x:v>
      </x:c>
      <x:c r="I346" t="s">
        <x:v>45</x:v>
      </x:c>
    </x:row>
    <x:row r="347">
      <x:c r="A347" t="s">
        <x:v>9</x:v>
      </x:c>
      <x:c r="B347">
        <x:v>0.96393404624807799</x:v>
      </x:c>
      <x:c r="C347" t="s">
        <x:v>10</x:v>
      </x:c>
      <x:c r="D347" t="s">
        <x:v>21</x:v>
      </x:c>
      <x:c r="E347" t="s">
        <x:v>102</x:v>
      </x:c>
      <x:c r="F347" t="s">
        <x:v>13</x:v>
      </x:c>
      <x:c r="G347" t="s">
        <x:v>27</x:v>
      </x:c>
      <x:c r="H347" t="s">
        <x:v>34</x:v>
      </x:c>
      <x:c r="I347" t="s">
        <x:v>45</x:v>
      </x:c>
    </x:row>
    <x:row r="348">
      <x:c r="A348" t="s">
        <x:v>17</x:v>
      </x:c>
      <x:c r="B348">
        <x:v>6.2559530138969394E-2</x:v>
      </x:c>
      <x:c r="C348" t="s">
        <x:v>10</x:v>
      </x:c>
      <x:c r="D348" t="s">
        <x:v>21</x:v>
      </x:c>
      <x:c r="E348" t="s">
        <x:v>102</x:v>
      </x:c>
      <x:c r="F348" t="s">
        <x:v>13</x:v>
      </x:c>
      <x:c r="G348" t="s">
        <x:v>27</x:v>
      </x:c>
      <x:c r="H348" t="s">
        <x:v>34</x:v>
      </x:c>
      <x:c r="I348" t="s">
        <x:v>45</x:v>
      </x:c>
    </x:row>
    <x:row r="349">
      <x:c r="A349" t="s">
        <x:v>18</x:v>
      </x:c>
      <x:c r="B349">
        <x:v>1.6571581363677899E-2</x:v>
      </x:c>
      <x:c r="C349" t="s">
        <x:v>10</x:v>
      </x:c>
      <x:c r="D349" t="s">
        <x:v>21</x:v>
      </x:c>
      <x:c r="E349" t="s">
        <x:v>102</x:v>
      </x:c>
      <x:c r="F349" t="s">
        <x:v>13</x:v>
      </x:c>
      <x:c r="G349" t="s">
        <x:v>27</x:v>
      </x:c>
      <x:c r="H349" t="s">
        <x:v>34</x:v>
      </x:c>
      <x:c r="I349" t="s">
        <x:v>45</x:v>
      </x:c>
    </x:row>
    <x:row r="350">
      <x:c r="A350" t="s">
        <x:v>19</x:v>
      </x:c>
      <x:c r="B350">
        <x:v>0.12873065432785599</x:v>
      </x:c>
      <x:c r="C350" t="s">
        <x:v>10</x:v>
      </x:c>
      <x:c r="D350" t="s">
        <x:v>21</x:v>
      </x:c>
      <x:c r="E350" t="s">
        <x:v>102</x:v>
      </x:c>
      <x:c r="F350" t="s">
        <x:v>13</x:v>
      </x:c>
      <x:c r="G350" t="s">
        <x:v>27</x:v>
      </x:c>
      <x:c r="H350" t="s">
        <x:v>34</x:v>
      </x:c>
      <x:c r="I350" t="s">
        <x:v>45</x:v>
      </x:c>
    </x:row>
    <x:row r="351">
      <x:c r="A351" t="s">
        <x:v>20</x:v>
      </x:c>
      <x:c r="B351">
        <x:v>38025379708928</x:v>
      </x:c>
      <x:c r="C351" t="s">
        <x:v>10</x:v>
      </x:c>
      <x:c r="D351" t="s">
        <x:v>21</x:v>
      </x:c>
      <x:c r="E351" t="s">
        <x:v>102</x:v>
      </x:c>
      <x:c r="F351" t="s">
        <x:v>13</x:v>
      </x:c>
      <x:c r="G351" t="s">
        <x:v>27</x:v>
      </x:c>
      <x:c r="H351" t="s">
        <x:v>34</x:v>
      </x:c>
      <x:c r="I351" t="s">
        <x:v>45</x:v>
      </x:c>
    </x:row>
    <x:row r="352">
      <x:c r="A352" t="s">
        <x:v>9</x:v>
      </x:c>
      <x:c r="B352">
        <x:v>0.82645719631853498</x:v>
      </x:c>
      <x:c r="C352" t="s">
        <x:v>23</x:v>
      </x:c>
      <x:c r="D352" t="s">
        <x:v>21</x:v>
      </x:c>
      <x:c r="E352" t="s">
        <x:v>103</x:v>
      </x:c>
      <x:c r="F352" t="s">
        <x:v>13</x:v>
      </x:c>
      <x:c r="G352" t="s">
        <x:v>27</x:v>
      </x:c>
      <x:c r="H352" t="s">
        <x:v>34</x:v>
      </x:c>
      <x:c r="I352" t="s">
        <x:v>45</x:v>
      </x:c>
    </x:row>
    <x:row r="353">
      <x:c r="A353" t="s">
        <x:v>17</x:v>
      </x:c>
      <x:c r="B353">
        <x:v>0.51864171028137196</x:v>
      </x:c>
      <x:c r="C353" t="s">
        <x:v>23</x:v>
      </x:c>
      <x:c r="D353" t="s">
        <x:v>21</x:v>
      </x:c>
      <x:c r="E353" t="s">
        <x:v>103</x:v>
      </x:c>
      <x:c r="F353" t="s">
        <x:v>13</x:v>
      </x:c>
      <x:c r="G353" t="s">
        <x:v>27</x:v>
      </x:c>
      <x:c r="H353" t="s">
        <x:v>34</x:v>
      </x:c>
      <x:c r="I353" t="s">
        <x:v>45</x:v>
      </x:c>
    </x:row>
    <x:row r="354">
      <x:c r="A354" t="s">
        <x:v>18</x:v>
      </x:c>
      <x:c r="B354">
        <x:v>0.48815384507179199</x:v>
      </x:c>
      <x:c r="C354" t="s">
        <x:v>23</x:v>
      </x:c>
      <x:c r="D354" t="s">
        <x:v>21</x:v>
      </x:c>
      <x:c r="E354" t="s">
        <x:v>103</x:v>
      </x:c>
      <x:c r="F354" t="s">
        <x:v>13</x:v>
      </x:c>
      <x:c r="G354" t="s">
        <x:v>27</x:v>
      </x:c>
      <x:c r="H354" t="s">
        <x:v>34</x:v>
      </x:c>
      <x:c r="I354" t="s">
        <x:v>45</x:v>
      </x:c>
    </x:row>
    <x:row r="355">
      <x:c r="A355" t="s">
        <x:v>19</x:v>
      </x:c>
      <x:c r="B355">
        <x:v>0.69868007347554395</x:v>
      </x:c>
      <x:c r="C355" t="s">
        <x:v>23</x:v>
      </x:c>
      <x:c r="D355" t="s">
        <x:v>21</x:v>
      </x:c>
      <x:c r="E355" t="s">
        <x:v>103</x:v>
      </x:c>
      <x:c r="F355" t="s">
        <x:v>13</x:v>
      </x:c>
      <x:c r="G355" t="s">
        <x:v>27</x:v>
      </x:c>
      <x:c r="H355" t="s">
        <x:v>34</x:v>
      </x:c>
      <x:c r="I355" t="s">
        <x:v>45</x:v>
      </x:c>
    </x:row>
    <x:row r="356">
      <x:c r="A356" t="s">
        <x:v>20</x:v>
      </x:c>
      <x:c r="B356">
        <x:v>537481434890240</x:v>
      </x:c>
      <x:c r="C356" t="s">
        <x:v>23</x:v>
      </x:c>
      <x:c r="D356" t="s">
        <x:v>21</x:v>
      </x:c>
      <x:c r="E356" t="s">
        <x:v>103</x:v>
      </x:c>
      <x:c r="F356" t="s">
        <x:v>13</x:v>
      </x:c>
      <x:c r="G356" t="s">
        <x:v>27</x:v>
      </x:c>
      <x:c r="H356" t="s">
        <x:v>34</x:v>
      </x:c>
      <x:c r="I356" t="s">
        <x:v>45</x:v>
      </x:c>
    </x:row>
    <x:row r="357">
      <x:c r="A357" t="s">
        <x:v>9</x:v>
      </x:c>
      <x:c r="B357">
        <x:v>0.82645719631853498</x:v>
      </x:c>
      <x:c r="C357" t="s">
        <x:v>23</x:v>
      </x:c>
      <x:c r="D357" t="s">
        <x:v>11</x:v>
      </x:c>
      <x:c r="E357" t="s">
        <x:v>104</x:v>
      </x:c>
      <x:c r="F357" t="s">
        <x:v>13</x:v>
      </x:c>
      <x:c r="G357" t="s">
        <x:v>27</x:v>
      </x:c>
      <x:c r="H357" t="s">
        <x:v>34</x:v>
      </x:c>
      <x:c r="I357" t="s">
        <x:v>45</x:v>
      </x:c>
    </x:row>
    <x:row r="358">
      <x:c r="A358" t="s">
        <x:v>17</x:v>
      </x:c>
      <x:c r="B358">
        <x:v>0.51864171028137196</x:v>
      </x:c>
      <x:c r="C358" t="s">
        <x:v>23</x:v>
      </x:c>
      <x:c r="D358" t="s">
        <x:v>11</x:v>
      </x:c>
      <x:c r="E358" t="s">
        <x:v>104</x:v>
      </x:c>
      <x:c r="F358" t="s">
        <x:v>13</x:v>
      </x:c>
      <x:c r="G358" t="s">
        <x:v>27</x:v>
      </x:c>
      <x:c r="H358" t="s">
        <x:v>34</x:v>
      </x:c>
      <x:c r="I358" t="s">
        <x:v>45</x:v>
      </x:c>
    </x:row>
    <x:row r="359">
      <x:c r="A359" t="s">
        <x:v>18</x:v>
      </x:c>
      <x:c r="B359">
        <x:v>0.48815384507179199</x:v>
      </x:c>
      <x:c r="C359" t="s">
        <x:v>23</x:v>
      </x:c>
      <x:c r="D359" t="s">
        <x:v>11</x:v>
      </x:c>
      <x:c r="E359" t="s">
        <x:v>104</x:v>
      </x:c>
      <x:c r="F359" t="s">
        <x:v>13</x:v>
      </x:c>
      <x:c r="G359" t="s">
        <x:v>27</x:v>
      </x:c>
      <x:c r="H359" t="s">
        <x:v>34</x:v>
      </x:c>
      <x:c r="I359" t="s">
        <x:v>45</x:v>
      </x:c>
    </x:row>
    <x:row r="360">
      <x:c r="A360" t="s">
        <x:v>19</x:v>
      </x:c>
      <x:c r="B360">
        <x:v>0.69868007347554395</x:v>
      </x:c>
      <x:c r="C360" t="s">
        <x:v>23</x:v>
      </x:c>
      <x:c r="D360" t="s">
        <x:v>11</x:v>
      </x:c>
      <x:c r="E360" t="s">
        <x:v>104</x:v>
      </x:c>
      <x:c r="F360" t="s">
        <x:v>13</x:v>
      </x:c>
      <x:c r="G360" t="s">
        <x:v>27</x:v>
      </x:c>
      <x:c r="H360" t="s">
        <x:v>34</x:v>
      </x:c>
      <x:c r="I360" t="s">
        <x:v>45</x:v>
      </x:c>
    </x:row>
    <x:row r="361">
      <x:c r="A361" t="s">
        <x:v>20</x:v>
      </x:c>
      <x:c r="B361">
        <x:v>537481434890240</x:v>
      </x:c>
      <x:c r="C361" t="s">
        <x:v>23</x:v>
      </x:c>
      <x:c r="D361" t="s">
        <x:v>11</x:v>
      </x:c>
      <x:c r="E361" t="s">
        <x:v>104</x:v>
      </x:c>
      <x:c r="F361" t="s">
        <x:v>13</x:v>
      </x:c>
      <x:c r="G361" t="s">
        <x:v>27</x:v>
      </x:c>
      <x:c r="H361" t="s">
        <x:v>34</x:v>
      </x:c>
      <x:c r="I361" t="s">
        <x:v>45</x:v>
      </x:c>
    </x:row>
    <x:row r="362">
      <x:c r="A362" t="s">
        <x:v>9</x:v>
      </x:c>
      <x:c r="B362">
        <x:v>0.96566369782973005</x:v>
      </x:c>
      <x:c r="C362" t="s">
        <x:v>10</x:v>
      </x:c>
      <x:c r="D362" t="s">
        <x:v>11</x:v>
      </x:c>
      <x:c r="E362" t="s">
        <x:v>105</x:v>
      </x:c>
      <x:c r="F362" t="s">
        <x:v>33</x:v>
      </x:c>
      <x:c r="G362" t="s">
        <x:v>27</x:v>
      </x:c>
      <x:c r="H362" t="s">
        <x:v>34</x:v>
      </x:c>
      <x:c r="I362" t="s">
        <x:v>45</x:v>
      </x:c>
    </x:row>
    <x:row r="363">
      <x:c r="A363" t="s">
        <x:v>17</x:v>
      </x:c>
      <x:c r="B363">
        <x:v>2.71333213895559E-2</x:v>
      </x:c>
      <x:c r="C363" t="s">
        <x:v>10</x:v>
      </x:c>
      <x:c r="D363" t="s">
        <x:v>11</x:v>
      </x:c>
      <x:c r="E363" t="s">
        <x:v>105</x:v>
      </x:c>
      <x:c r="F363" t="s">
        <x:v>33</x:v>
      </x:c>
      <x:c r="G363" t="s">
        <x:v>27</x:v>
      </x:c>
      <x:c r="H363" t="s">
        <x:v>34</x:v>
      </x:c>
      <x:c r="I363" t="s">
        <x:v>45</x:v>
      </x:c>
    </x:row>
    <x:row r="364">
      <x:c r="A364" t="s">
        <x:v>18</x:v>
      </x:c>
      <x:c r="B364">
        <x:v>6.8337530829012299E-3</x:v>
      </x:c>
      <x:c r="C364" t="s">
        <x:v>10</x:v>
      </x:c>
      <x:c r="D364" t="s">
        <x:v>11</x:v>
      </x:c>
      <x:c r="E364" t="s">
        <x:v>105</x:v>
      </x:c>
      <x:c r="F364" t="s">
        <x:v>33</x:v>
      </x:c>
      <x:c r="G364" t="s">
        <x:v>27</x:v>
      </x:c>
      <x:c r="H364" t="s">
        <x:v>34</x:v>
      </x:c>
      <x:c r="I364" t="s">
        <x:v>45</x:v>
      </x:c>
    </x:row>
    <x:row r="365">
      <x:c r="A365" t="s">
        <x:v>19</x:v>
      </x:c>
      <x:c r="B365">
        <x:v>8.2666517302359105E-2</x:v>
      </x:c>
      <x:c r="C365" t="s">
        <x:v>10</x:v>
      </x:c>
      <x:c r="D365" t="s">
        <x:v>11</x:v>
      </x:c>
      <x:c r="E365" t="s">
        <x:v>105</x:v>
      </x:c>
      <x:c r="F365" t="s">
        <x:v>33</x:v>
      </x:c>
      <x:c r="G365" t="s">
        <x:v>27</x:v>
      </x:c>
      <x:c r="H365" t="s">
        <x:v>34</x:v>
      </x:c>
      <x:c r="I365" t="s">
        <x:v>45</x:v>
      </x:c>
    </x:row>
    <x:row r="366">
      <x:c r="A366" t="s">
        <x:v>20</x:v>
      </x:c>
      <x:c r="B366">
        <x:v>17050379485184</x:v>
      </x:c>
      <x:c r="C366" t="s">
        <x:v>10</x:v>
      </x:c>
      <x:c r="D366" t="s">
        <x:v>11</x:v>
      </x:c>
      <x:c r="E366" t="s">
        <x:v>105</x:v>
      </x:c>
      <x:c r="F366" t="s">
        <x:v>33</x:v>
      </x:c>
      <x:c r="G366" t="s">
        <x:v>27</x:v>
      </x:c>
      <x:c r="H366" t="s">
        <x:v>34</x:v>
      </x:c>
      <x:c r="I366" t="s">
        <x:v>45</x:v>
      </x:c>
    </x:row>
    <x:row r="367">
      <x:c r="A367" t="s">
        <x:v>9</x:v>
      </x:c>
      <x:c r="B367">
        <x:v>0.96566369782973005</x:v>
      </x:c>
      <x:c r="C367" t="s">
        <x:v>10</x:v>
      </x:c>
      <x:c r="D367" t="s">
        <x:v>21</x:v>
      </x:c>
      <x:c r="E367" t="s">
        <x:v>106</x:v>
      </x:c>
      <x:c r="F367" t="s">
        <x:v>33</x:v>
      </x:c>
      <x:c r="G367" t="s">
        <x:v>27</x:v>
      </x:c>
      <x:c r="H367" t="s">
        <x:v>34</x:v>
      </x:c>
      <x:c r="I367" t="s">
        <x:v>45</x:v>
      </x:c>
    </x:row>
    <x:row r="368">
      <x:c r="A368" t="s">
        <x:v>17</x:v>
      </x:c>
      <x:c r="B368">
        <x:v>2.71333213895559E-2</x:v>
      </x:c>
      <x:c r="C368" t="s">
        <x:v>10</x:v>
      </x:c>
      <x:c r="D368" t="s">
        <x:v>21</x:v>
      </x:c>
      <x:c r="E368" t="s">
        <x:v>106</x:v>
      </x:c>
      <x:c r="F368" t="s">
        <x:v>33</x:v>
      </x:c>
      <x:c r="G368" t="s">
        <x:v>27</x:v>
      </x:c>
      <x:c r="H368" t="s">
        <x:v>34</x:v>
      </x:c>
      <x:c r="I368" t="s">
        <x:v>45</x:v>
      </x:c>
    </x:row>
    <x:row r="369">
      <x:c r="A369" t="s">
        <x:v>18</x:v>
      </x:c>
      <x:c r="B369">
        <x:v>6.8337530829012299E-3</x:v>
      </x:c>
      <x:c r="C369" t="s">
        <x:v>10</x:v>
      </x:c>
      <x:c r="D369" t="s">
        <x:v>21</x:v>
      </x:c>
      <x:c r="E369" t="s">
        <x:v>106</x:v>
      </x:c>
      <x:c r="F369" t="s">
        <x:v>33</x:v>
      </x:c>
      <x:c r="G369" t="s">
        <x:v>27</x:v>
      </x:c>
      <x:c r="H369" t="s">
        <x:v>34</x:v>
      </x:c>
      <x:c r="I369" t="s">
        <x:v>45</x:v>
      </x:c>
    </x:row>
    <x:row r="370">
      <x:c r="A370" t="s">
        <x:v>19</x:v>
      </x:c>
      <x:c r="B370">
        <x:v>8.2666517302359105E-2</x:v>
      </x:c>
      <x:c r="C370" t="s">
        <x:v>10</x:v>
      </x:c>
      <x:c r="D370" t="s">
        <x:v>21</x:v>
      </x:c>
      <x:c r="E370" t="s">
        <x:v>106</x:v>
      </x:c>
      <x:c r="F370" t="s">
        <x:v>33</x:v>
      </x:c>
      <x:c r="G370" t="s">
        <x:v>27</x:v>
      </x:c>
      <x:c r="H370" t="s">
        <x:v>34</x:v>
      </x:c>
      <x:c r="I370" t="s">
        <x:v>45</x:v>
      </x:c>
    </x:row>
    <x:row r="371">
      <x:c r="A371" t="s">
        <x:v>20</x:v>
      </x:c>
      <x:c r="B371">
        <x:v>17050379485184</x:v>
      </x:c>
      <x:c r="C371" t="s">
        <x:v>10</x:v>
      </x:c>
      <x:c r="D371" t="s">
        <x:v>21</x:v>
      </x:c>
      <x:c r="E371" t="s">
        <x:v>106</x:v>
      </x:c>
      <x:c r="F371" t="s">
        <x:v>33</x:v>
      </x:c>
      <x:c r="G371" t="s">
        <x:v>27</x:v>
      </x:c>
      <x:c r="H371" t="s">
        <x:v>34</x:v>
      </x:c>
      <x:c r="I371" t="s">
        <x:v>45</x:v>
      </x:c>
    </x:row>
    <x:row r="372">
      <x:c r="A372" t="s">
        <x:v>9</x:v>
      </x:c>
      <x:c r="B372">
        <x:v>0.65577426719696696</x:v>
      </x:c>
      <x:c r="C372" t="s">
        <x:v>23</x:v>
      </x:c>
      <x:c r="D372" t="s">
        <x:v>21</x:v>
      </x:c>
      <x:c r="E372" t="s">
        <x:v>107</x:v>
      </x:c>
      <x:c r="F372" t="s">
        <x:v>33</x:v>
      </x:c>
      <x:c r="G372" t="s">
        <x:v>27</x:v>
      </x:c>
      <x:c r="H372" t="s">
        <x:v>34</x:v>
      </x:c>
      <x:c r="I372" t="s">
        <x:v>45</x:v>
      </x:c>
    </x:row>
    <x:row r="373">
      <x:c r="A373" t="s">
        <x:v>17</x:v>
      </x:c>
      <x:c r="B373">
        <x:v>0.44954955577850297</x:v>
      </x:c>
      <x:c r="C373" t="s">
        <x:v>23</x:v>
      </x:c>
      <x:c r="D373" t="s">
        <x:v>21</x:v>
      </x:c>
      <x:c r="E373" t="s">
        <x:v>107</x:v>
      </x:c>
      <x:c r="F373" t="s">
        <x:v>33</x:v>
      </x:c>
      <x:c r="G373" t="s">
        <x:v>27</x:v>
      </x:c>
      <x:c r="H373" t="s">
        <x:v>34</x:v>
      </x:c>
      <x:c r="I373" t="s">
        <x:v>45</x:v>
      </x:c>
    </x:row>
    <x:row r="374">
      <x:c r="A374" t="s">
        <x:v>18</x:v>
      </x:c>
      <x:c r="B374">
        <x:v>0.48232042789459201</x:v>
      </x:c>
      <x:c r="C374" t="s">
        <x:v>23</x:v>
      </x:c>
      <x:c r="D374" t="s">
        <x:v>21</x:v>
      </x:c>
      <x:c r="E374" t="s">
        <x:v>107</x:v>
      </x:c>
      <x:c r="F374" t="s">
        <x:v>33</x:v>
      </x:c>
      <x:c r="G374" t="s">
        <x:v>27</x:v>
      </x:c>
      <x:c r="H374" t="s">
        <x:v>34</x:v>
      </x:c>
      <x:c r="I374" t="s">
        <x:v>45</x:v>
      </x:c>
    </x:row>
    <x:row r="375">
      <x:c r="A375" t="s">
        <x:v>19</x:v>
      </x:c>
      <x:c r="B375">
        <x:v>0.69449292861381395</x:v>
      </x:c>
      <x:c r="C375" t="s">
        <x:v>23</x:v>
      </x:c>
      <x:c r="D375" t="s">
        <x:v>21</x:v>
      </x:c>
      <x:c r="E375" t="s">
        <x:v>107</x:v>
      </x:c>
      <x:c r="F375" t="s">
        <x:v>33</x:v>
      </x:c>
      <x:c r="G375" t="s">
        <x:v>27</x:v>
      </x:c>
      <x:c r="H375" t="s">
        <x:v>34</x:v>
      </x:c>
      <x:c r="I375" t="s">
        <x:v>45</x:v>
      </x:c>
    </x:row>
    <x:row r="376">
      <x:c r="A376" t="s">
        <x:v>20</x:v>
      </x:c>
      <x:c r="B376">
        <x:v>467254927949824</x:v>
      </x:c>
      <x:c r="C376" t="s">
        <x:v>23</x:v>
      </x:c>
      <x:c r="D376" t="s">
        <x:v>21</x:v>
      </x:c>
      <x:c r="E376" t="s">
        <x:v>107</x:v>
      </x:c>
      <x:c r="F376" t="s">
        <x:v>33</x:v>
      </x:c>
      <x:c r="G376" t="s">
        <x:v>27</x:v>
      </x:c>
      <x:c r="H376" t="s">
        <x:v>34</x:v>
      </x:c>
      <x:c r="I376" t="s">
        <x:v>45</x:v>
      </x:c>
    </x:row>
    <x:row r="377">
      <x:c r="A377" t="s">
        <x:v>9</x:v>
      </x:c>
      <x:c r="B377">
        <x:v>0.65577426719696696</x:v>
      </x:c>
      <x:c r="C377" t="s">
        <x:v>23</x:v>
      </x:c>
      <x:c r="D377" t="s">
        <x:v>11</x:v>
      </x:c>
      <x:c r="E377" t="s">
        <x:v>108</x:v>
      </x:c>
      <x:c r="F377" t="s">
        <x:v>33</x:v>
      </x:c>
      <x:c r="G377" t="s">
        <x:v>27</x:v>
      </x:c>
      <x:c r="H377" t="s">
        <x:v>34</x:v>
      </x:c>
      <x:c r="I377" t="s">
        <x:v>45</x:v>
      </x:c>
    </x:row>
    <x:row r="378">
      <x:c r="A378" t="s">
        <x:v>17</x:v>
      </x:c>
      <x:c r="B378">
        <x:v>0.44954955577850297</x:v>
      </x:c>
      <x:c r="C378" t="s">
        <x:v>23</x:v>
      </x:c>
      <x:c r="D378" t="s">
        <x:v>11</x:v>
      </x:c>
      <x:c r="E378" t="s">
        <x:v>108</x:v>
      </x:c>
      <x:c r="F378" t="s">
        <x:v>33</x:v>
      </x:c>
      <x:c r="G378" t="s">
        <x:v>27</x:v>
      </x:c>
      <x:c r="H378" t="s">
        <x:v>34</x:v>
      </x:c>
      <x:c r="I378" t="s">
        <x:v>45</x:v>
      </x:c>
    </x:row>
    <x:row r="379">
      <x:c r="A379" t="s">
        <x:v>18</x:v>
      </x:c>
      <x:c r="B379">
        <x:v>0.48232042789459201</x:v>
      </x:c>
      <x:c r="C379" t="s">
        <x:v>23</x:v>
      </x:c>
      <x:c r="D379" t="s">
        <x:v>11</x:v>
      </x:c>
      <x:c r="E379" t="s">
        <x:v>108</x:v>
      </x:c>
      <x:c r="F379" t="s">
        <x:v>33</x:v>
      </x:c>
      <x:c r="G379" t="s">
        <x:v>27</x:v>
      </x:c>
      <x:c r="H379" t="s">
        <x:v>34</x:v>
      </x:c>
      <x:c r="I379" t="s">
        <x:v>45</x:v>
      </x:c>
    </x:row>
    <x:row r="380">
      <x:c r="A380" t="s">
        <x:v>19</x:v>
      </x:c>
      <x:c r="B380">
        <x:v>0.69449292861381395</x:v>
      </x:c>
      <x:c r="C380" t="s">
        <x:v>23</x:v>
      </x:c>
      <x:c r="D380" t="s">
        <x:v>11</x:v>
      </x:c>
      <x:c r="E380" t="s">
        <x:v>108</x:v>
      </x:c>
      <x:c r="F380" t="s">
        <x:v>33</x:v>
      </x:c>
      <x:c r="G380" t="s">
        <x:v>27</x:v>
      </x:c>
      <x:c r="H380" t="s">
        <x:v>34</x:v>
      </x:c>
      <x:c r="I380" t="s">
        <x:v>45</x:v>
      </x:c>
    </x:row>
    <x:row r="381">
      <x:c r="A381" t="s">
        <x:v>20</x:v>
      </x:c>
      <x:c r="B381">
        <x:v>467254927949824</x:v>
      </x:c>
      <x:c r="C381" t="s">
        <x:v>23</x:v>
      </x:c>
      <x:c r="D381" t="s">
        <x:v>11</x:v>
      </x:c>
      <x:c r="E381" t="s">
        <x:v>108</x:v>
      </x:c>
      <x:c r="F381" t="s">
        <x:v>33</x:v>
      </x:c>
      <x:c r="G381" t="s">
        <x:v>27</x:v>
      </x:c>
      <x:c r="H381" t="s">
        <x:v>34</x:v>
      </x:c>
      <x:c r="I381" t="s">
        <x:v>45</x:v>
      </x:c>
    </x:row>
    <x:row r="382">
      <x:c r="A382" t="s">
        <x:v>9</x:v>
      </x:c>
      <x:c r="B382">
        <x:v>0.85271111873046601</x:v>
      </x:c>
      <x:c r="C382" t="s">
        <x:v>10</x:v>
      </x:c>
      <x:c r="D382" t="s">
        <x:v>11</x:v>
      </x:c>
      <x:c r="E382" t="s">
        <x:v>109</x:v>
      </x:c>
      <x:c r="F382" t="s">
        <x:v>33</x:v>
      </x:c>
      <x:c r="G382" t="s">
        <x:v>14</x:v>
      </x:c>
      <x:c r="H382" t="s">
        <x:v>34</x:v>
      </x:c>
      <x:c r="I382" t="s">
        <x:v>45</x:v>
      </x:c>
    </x:row>
    <x:row r="383">
      <x:c r="A383" t="s">
        <x:v>17</x:v>
      </x:c>
      <x:c r="B383">
        <x:v>0.36892113089561401</x:v>
      </x:c>
      <x:c r="C383" t="s">
        <x:v>10</x:v>
      </x:c>
      <x:c r="D383" t="s">
        <x:v>11</x:v>
      </x:c>
      <x:c r="E383" t="s">
        <x:v>109</x:v>
      </x:c>
      <x:c r="F383" t="s">
        <x:v>33</x:v>
      </x:c>
      <x:c r="G383" t="s">
        <x:v>14</x:v>
      </x:c>
      <x:c r="H383" t="s">
        <x:v>34</x:v>
      </x:c>
      <x:c r="I383" t="s">
        <x:v>45</x:v>
      </x:c>
    </x:row>
    <x:row r="384">
      <x:c r="A384" t="s">
        <x:v>18</x:v>
      </x:c>
      <x:c r="B384">
        <x:v>0.27227771282196001</x:v>
      </x:c>
      <x:c r="C384" t="s">
        <x:v>10</x:v>
      </x:c>
      <x:c r="D384" t="s">
        <x:v>11</x:v>
      </x:c>
      <x:c r="E384" t="s">
        <x:v>109</x:v>
      </x:c>
      <x:c r="F384" t="s">
        <x:v>33</x:v>
      </x:c>
      <x:c r="G384" t="s">
        <x:v>14</x:v>
      </x:c>
      <x:c r="H384" t="s">
        <x:v>34</x:v>
      </x:c>
      <x:c r="I384" t="s">
        <x:v>45</x:v>
      </x:c>
    </x:row>
    <x:row r="385">
      <x:c r="A385" t="s">
        <x:v>19</x:v>
      </x:c>
      <x:c r="B385">
        <x:v>0.52180236950588899</x:v>
      </x:c>
      <x:c r="C385" t="s">
        <x:v>10</x:v>
      </x:c>
      <x:c r="D385" t="s">
        <x:v>11</x:v>
      </x:c>
      <x:c r="E385" t="s">
        <x:v>109</x:v>
      </x:c>
      <x:c r="F385" t="s">
        <x:v>33</x:v>
      </x:c>
      <x:c r="G385" t="s">
        <x:v>14</x:v>
      </x:c>
      <x:c r="H385" t="s">
        <x:v>34</x:v>
      </x:c>
      <x:c r="I385" t="s">
        <x:v>45</x:v>
      </x:c>
    </x:row>
    <x:row r="386">
      <x:c r="A386" t="s">
        <x:v>20</x:v>
      </x:c>
      <x:c r="B386">
        <x:v>152398240677888</x:v>
      </x:c>
      <x:c r="C386" t="s">
        <x:v>10</x:v>
      </x:c>
      <x:c r="D386" t="s">
        <x:v>11</x:v>
      </x:c>
      <x:c r="E386" t="s">
        <x:v>109</x:v>
      </x:c>
      <x:c r="F386" t="s">
        <x:v>33</x:v>
      </x:c>
      <x:c r="G386" t="s">
        <x:v>14</x:v>
      </x:c>
      <x:c r="H386" t="s">
        <x:v>34</x:v>
      </x:c>
      <x:c r="I386" t="s">
        <x:v>45</x:v>
      </x:c>
    </x:row>
    <x:row r="387">
      <x:c r="A387" t="s">
        <x:v>9</x:v>
      </x:c>
      <x:c r="B387">
        <x:v>0.85271111873046601</x:v>
      </x:c>
      <x:c r="C387" t="s">
        <x:v>10</x:v>
      </x:c>
      <x:c r="D387" t="s">
        <x:v>21</x:v>
      </x:c>
      <x:c r="E387" t="s">
        <x:v>110</x:v>
      </x:c>
      <x:c r="F387" t="s">
        <x:v>33</x:v>
      </x:c>
      <x:c r="G387" t="s">
        <x:v>14</x:v>
      </x:c>
      <x:c r="H387" t="s">
        <x:v>34</x:v>
      </x:c>
      <x:c r="I387" t="s">
        <x:v>45</x:v>
      </x:c>
    </x:row>
    <x:row r="388">
      <x:c r="A388" t="s">
        <x:v>17</x:v>
      </x:c>
      <x:c r="B388">
        <x:v>0.36892113089561401</x:v>
      </x:c>
      <x:c r="C388" t="s">
        <x:v>10</x:v>
      </x:c>
      <x:c r="D388" t="s">
        <x:v>21</x:v>
      </x:c>
      <x:c r="E388" t="s">
        <x:v>110</x:v>
      </x:c>
      <x:c r="F388" t="s">
        <x:v>33</x:v>
      </x:c>
      <x:c r="G388" t="s">
        <x:v>14</x:v>
      </x:c>
      <x:c r="H388" t="s">
        <x:v>34</x:v>
      </x:c>
      <x:c r="I388" t="s">
        <x:v>45</x:v>
      </x:c>
    </x:row>
    <x:row r="389">
      <x:c r="A389" t="s">
        <x:v>18</x:v>
      </x:c>
      <x:c r="B389">
        <x:v>0.27227771282196001</x:v>
      </x:c>
      <x:c r="C389" t="s">
        <x:v>10</x:v>
      </x:c>
      <x:c r="D389" t="s">
        <x:v>21</x:v>
      </x:c>
      <x:c r="E389" t="s">
        <x:v>110</x:v>
      </x:c>
      <x:c r="F389" t="s">
        <x:v>33</x:v>
      </x:c>
      <x:c r="G389" t="s">
        <x:v>14</x:v>
      </x:c>
      <x:c r="H389" t="s">
        <x:v>34</x:v>
      </x:c>
      <x:c r="I389" t="s">
        <x:v>45</x:v>
      </x:c>
    </x:row>
    <x:row r="390">
      <x:c r="A390" t="s">
        <x:v>19</x:v>
      </x:c>
      <x:c r="B390">
        <x:v>0.52180236950588899</x:v>
      </x:c>
      <x:c r="C390" t="s">
        <x:v>10</x:v>
      </x:c>
      <x:c r="D390" t="s">
        <x:v>21</x:v>
      </x:c>
      <x:c r="E390" t="s">
        <x:v>110</x:v>
      </x:c>
      <x:c r="F390" t="s">
        <x:v>33</x:v>
      </x:c>
      <x:c r="G390" t="s">
        <x:v>14</x:v>
      </x:c>
      <x:c r="H390" t="s">
        <x:v>34</x:v>
      </x:c>
      <x:c r="I390" t="s">
        <x:v>45</x:v>
      </x:c>
    </x:row>
    <x:row r="391">
      <x:c r="A391" t="s">
        <x:v>20</x:v>
      </x:c>
      <x:c r="B391">
        <x:v>152398240677888</x:v>
      </x:c>
      <x:c r="C391" t="s">
        <x:v>10</x:v>
      </x:c>
      <x:c r="D391" t="s">
        <x:v>21</x:v>
      </x:c>
      <x:c r="E391" t="s">
        <x:v>110</x:v>
      </x:c>
      <x:c r="F391" t="s">
        <x:v>33</x:v>
      </x:c>
      <x:c r="G391" t="s">
        <x:v>14</x:v>
      </x:c>
      <x:c r="H391" t="s">
        <x:v>34</x:v>
      </x:c>
      <x:c r="I391" t="s">
        <x:v>45</x:v>
      </x:c>
    </x:row>
    <x:row r="392">
      <x:c r="A392" t="s">
        <x:v>9</x:v>
      </x:c>
      <x:c r="B392">
        <x:v>0.85210646229634501</x:v>
      </x:c>
      <x:c r="C392" t="s">
        <x:v>23</x:v>
      </x:c>
      <x:c r="D392" t="s">
        <x:v>21</x:v>
      </x:c>
      <x:c r="E392" t="s">
        <x:v>111</x:v>
      </x:c>
      <x:c r="F392" t="s">
        <x:v>33</x:v>
      </x:c>
      <x:c r="G392" t="s">
        <x:v>14</x:v>
      </x:c>
      <x:c r="H392" t="s">
        <x:v>34</x:v>
      </x:c>
      <x:c r="I392" t="s">
        <x:v>45</x:v>
      </x:c>
    </x:row>
    <x:row r="393">
      <x:c r="A393" t="s">
        <x:v>17</x:v>
      </x:c>
      <x:c r="B393">
        <x:v>0.55138885974884</x:v>
      </x:c>
      <x:c r="C393" t="s">
        <x:v>23</x:v>
      </x:c>
      <x:c r="D393" t="s">
        <x:v>21</x:v>
      </x:c>
      <x:c r="E393" t="s">
        <x:v>111</x:v>
      </x:c>
      <x:c r="F393" t="s">
        <x:v>33</x:v>
      </x:c>
      <x:c r="G393" t="s">
        <x:v>14</x:v>
      </x:c>
      <x:c r="H393" t="s">
        <x:v>34</x:v>
      </x:c>
      <x:c r="I393" t="s">
        <x:v>45</x:v>
      </x:c>
    </x:row>
    <x:row r="394">
      <x:c r="A394" t="s">
        <x:v>18</x:v>
      </x:c>
      <x:c r="B394">
        <x:v>0.54647648334503096</x:v>
      </x:c>
      <x:c r="C394" t="s">
        <x:v>23</x:v>
      </x:c>
      <x:c r="D394" t="s">
        <x:v>21</x:v>
      </x:c>
      <x:c r="E394" t="s">
        <x:v>111</x:v>
      </x:c>
      <x:c r="F394" t="s">
        <x:v>33</x:v>
      </x:c>
      <x:c r="G394" t="s">
        <x:v>14</x:v>
      </x:c>
      <x:c r="H394" t="s">
        <x:v>34</x:v>
      </x:c>
      <x:c r="I394" t="s">
        <x:v>45</x:v>
      </x:c>
    </x:row>
    <x:row r="395">
      <x:c r="A395" t="s">
        <x:v>19</x:v>
      </x:c>
      <x:c r="B395">
        <x:v>0.73924047734484299</x:v>
      </x:c>
      <x:c r="C395" t="s">
        <x:v>23</x:v>
      </x:c>
      <x:c r="D395" t="s">
        <x:v>21</x:v>
      </x:c>
      <x:c r="E395" t="s">
        <x:v>111</x:v>
      </x:c>
      <x:c r="F395" t="s">
        <x:v>33</x:v>
      </x:c>
      <x:c r="G395" t="s">
        <x:v>14</x:v>
      </x:c>
      <x:c r="H395" t="s">
        <x:v>34</x:v>
      </x:c>
      <x:c r="I395" t="s">
        <x:v>45</x:v>
      </x:c>
    </x:row>
    <x:row r="396">
      <x:c r="A396" t="s">
        <x:v>20</x:v>
      </x:c>
      <x:c r="B396">
        <x:v>419039557976064</x:v>
      </x:c>
      <x:c r="C396" t="s">
        <x:v>23</x:v>
      </x:c>
      <x:c r="D396" t="s">
        <x:v>21</x:v>
      </x:c>
      <x:c r="E396" t="s">
        <x:v>111</x:v>
      </x:c>
      <x:c r="F396" t="s">
        <x:v>33</x:v>
      </x:c>
      <x:c r="G396" t="s">
        <x:v>14</x:v>
      </x:c>
      <x:c r="H396" t="s">
        <x:v>34</x:v>
      </x:c>
      <x:c r="I396" t="s">
        <x:v>45</x:v>
      </x:c>
    </x:row>
    <x:row r="397">
      <x:c r="A397" t="s">
        <x:v>9</x:v>
      </x:c>
      <x:c r="B397">
        <x:v>0.85210646229634501</x:v>
      </x:c>
      <x:c r="C397" t="s">
        <x:v>23</x:v>
      </x:c>
      <x:c r="D397" t="s">
        <x:v>11</x:v>
      </x:c>
      <x:c r="E397" t="s">
        <x:v>112</x:v>
      </x:c>
      <x:c r="F397" t="s">
        <x:v>33</x:v>
      </x:c>
      <x:c r="G397" t="s">
        <x:v>14</x:v>
      </x:c>
      <x:c r="H397" t="s">
        <x:v>34</x:v>
      </x:c>
      <x:c r="I397" t="s">
        <x:v>45</x:v>
      </x:c>
    </x:row>
    <x:row r="398">
      <x:c r="A398" t="s">
        <x:v>17</x:v>
      </x:c>
      <x:c r="B398">
        <x:v>0.55138885974884</x:v>
      </x:c>
      <x:c r="C398" t="s">
        <x:v>23</x:v>
      </x:c>
      <x:c r="D398" t="s">
        <x:v>11</x:v>
      </x:c>
      <x:c r="E398" t="s">
        <x:v>112</x:v>
      </x:c>
      <x:c r="F398" t="s">
        <x:v>33</x:v>
      </x:c>
      <x:c r="G398" t="s">
        <x:v>14</x:v>
      </x:c>
      <x:c r="H398" t="s">
        <x:v>34</x:v>
      </x:c>
      <x:c r="I398" t="s">
        <x:v>45</x:v>
      </x:c>
    </x:row>
    <x:row r="399">
      <x:c r="A399" t="s">
        <x:v>18</x:v>
      </x:c>
      <x:c r="B399">
        <x:v>0.54647648334503096</x:v>
      </x:c>
      <x:c r="C399" t="s">
        <x:v>23</x:v>
      </x:c>
      <x:c r="D399" t="s">
        <x:v>11</x:v>
      </x:c>
      <x:c r="E399" t="s">
        <x:v>112</x:v>
      </x:c>
      <x:c r="F399" t="s">
        <x:v>33</x:v>
      </x:c>
      <x:c r="G399" t="s">
        <x:v>14</x:v>
      </x:c>
      <x:c r="H399" t="s">
        <x:v>34</x:v>
      </x:c>
      <x:c r="I399" t="s">
        <x:v>45</x:v>
      </x:c>
    </x:row>
    <x:row r="400">
      <x:c r="A400" t="s">
        <x:v>19</x:v>
      </x:c>
      <x:c r="B400">
        <x:v>0.73924047734484299</x:v>
      </x:c>
      <x:c r="C400" t="s">
        <x:v>23</x:v>
      </x:c>
      <x:c r="D400" t="s">
        <x:v>11</x:v>
      </x:c>
      <x:c r="E400" t="s">
        <x:v>112</x:v>
      </x:c>
      <x:c r="F400" t="s">
        <x:v>33</x:v>
      </x:c>
      <x:c r="G400" t="s">
        <x:v>14</x:v>
      </x:c>
      <x:c r="H400" t="s">
        <x:v>34</x:v>
      </x:c>
      <x:c r="I400" t="s">
        <x:v>45</x:v>
      </x:c>
    </x:row>
    <x:row r="401">
      <x:c r="A401" t="s">
        <x:v>20</x:v>
      </x:c>
      <x:c r="B401">
        <x:v>419039557976064</x:v>
      </x:c>
      <x:c r="C401" t="s">
        <x:v>23</x:v>
      </x:c>
      <x:c r="D401" t="s">
        <x:v>11</x:v>
      </x:c>
      <x:c r="E401" t="s">
        <x:v>112</x:v>
      </x:c>
      <x:c r="F401" t="s">
        <x:v>33</x:v>
      </x:c>
      <x:c r="G401" t="s">
        <x:v>14</x:v>
      </x:c>
      <x:c r="H401" t="s">
        <x:v>34</x:v>
      </x:c>
      <x:c r="I401" t="s">
        <x:v>45</x:v>
      </x:c>
    </x:row>
    <x:row r="402">
      <x:c r="A402" t="s">
        <x:v>9</x:v>
      </x:c>
      <x:c r="B402">
        <x:v>0.97148138186134203</x:v>
      </x:c>
      <x:c r="C402" t="s">
        <x:v>10</x:v>
      </x:c>
      <x:c r="D402" t="s">
        <x:v>11</x:v>
      </x:c>
      <x:c r="E402" t="s">
        <x:v>113</x:v>
      </x:c>
      <x:c r="F402" t="s">
        <x:v>13</x:v>
      </x:c>
      <x:c r="G402" t="s">
        <x:v>14</x:v>
      </x:c>
      <x:c r="H402" t="s">
        <x:v>34</x:v>
      </x:c>
      <x:c r="I402" t="s">
        <x:v>45</x:v>
      </x:c>
    </x:row>
    <x:row r="403">
      <x:c r="A403" t="s">
        <x:v>17</x:v>
      </x:c>
      <x:c r="B403">
        <x:v>1.32232988253235E-2</x:v>
      </x:c>
      <x:c r="C403" t="s">
        <x:v>10</x:v>
      </x:c>
      <x:c r="D403" t="s">
        <x:v>11</x:v>
      </x:c>
      <x:c r="E403" t="s">
        <x:v>113</x:v>
      </x:c>
      <x:c r="F403" t="s">
        <x:v>13</x:v>
      </x:c>
      <x:c r="G403" t="s">
        <x:v>14</x:v>
      </x:c>
      <x:c r="H403" t="s">
        <x:v>34</x:v>
      </x:c>
      <x:c r="I403" t="s">
        <x:v>45</x:v>
      </x:c>
    </x:row>
    <x:row r="404">
      <x:c r="A404" t="s">
        <x:v>18</x:v>
      </x:c>
      <x:c r="B404">
        <x:v>3.03282123059034E-3</x:v>
      </x:c>
      <x:c r="C404" t="s">
        <x:v>10</x:v>
      </x:c>
      <x:c r="D404" t="s">
        <x:v>11</x:v>
      </x:c>
      <x:c r="E404" t="s">
        <x:v>113</x:v>
      </x:c>
      <x:c r="F404" t="s">
        <x:v>13</x:v>
      </x:c>
      <x:c r="G404" t="s">
        <x:v>14</x:v>
      </x:c>
      <x:c r="H404" t="s">
        <x:v>34</x:v>
      </x:c>
      <x:c r="I404" t="s">
        <x:v>45</x:v>
      </x:c>
    </x:row>
    <x:row r="405">
      <x:c r="A405" t="s">
        <x:v>19</x:v>
      </x:c>
      <x:c r="B405">
        <x:v>5.50710561964299E-2</x:v>
      </x:c>
      <x:c r="C405" t="s">
        <x:v>10</x:v>
      </x:c>
      <x:c r="D405" t="s">
        <x:v>11</x:v>
      </x:c>
      <x:c r="E405" t="s">
        <x:v>113</x:v>
      </x:c>
      <x:c r="F405" t="s">
        <x:v>13</x:v>
      </x:c>
      <x:c r="G405" t="s">
        <x:v>14</x:v>
      </x:c>
      <x:c r="H405" t="s">
        <x:v>34</x:v>
      </x:c>
      <x:c r="I405" t="s">
        <x:v>45</x:v>
      </x:c>
    </x:row>
    <x:row r="406">
      <x:c r="A406" t="s">
        <x:v>20</x:v>
      </x:c>
      <x:c r="B406">
        <x:v>10491475787776</x:v>
      </x:c>
      <x:c r="C406" t="s">
        <x:v>10</x:v>
      </x:c>
      <x:c r="D406" t="s">
        <x:v>11</x:v>
      </x:c>
      <x:c r="E406" t="s">
        <x:v>113</x:v>
      </x:c>
      <x:c r="F406" t="s">
        <x:v>13</x:v>
      </x:c>
      <x:c r="G406" t="s">
        <x:v>14</x:v>
      </x:c>
      <x:c r="H406" t="s">
        <x:v>34</x:v>
      </x:c>
      <x:c r="I406" t="s">
        <x:v>45</x:v>
      </x:c>
    </x:row>
    <x:row r="407">
      <x:c r="A407" t="s">
        <x:v>9</x:v>
      </x:c>
      <x:c r="B407">
        <x:v>0.97148138186134203</x:v>
      </x:c>
      <x:c r="C407" t="s">
        <x:v>10</x:v>
      </x:c>
      <x:c r="D407" t="s">
        <x:v>21</x:v>
      </x:c>
      <x:c r="E407" t="s">
        <x:v>114</x:v>
      </x:c>
      <x:c r="F407" t="s">
        <x:v>13</x:v>
      </x:c>
      <x:c r="G407" t="s">
        <x:v>14</x:v>
      </x:c>
      <x:c r="H407" t="s">
        <x:v>34</x:v>
      </x:c>
      <x:c r="I407" t="s">
        <x:v>45</x:v>
      </x:c>
    </x:row>
    <x:row r="408">
      <x:c r="A408" t="s">
        <x:v>17</x:v>
      </x:c>
      <x:c r="B408">
        <x:v>1.32232988253235E-2</x:v>
      </x:c>
      <x:c r="C408" t="s">
        <x:v>10</x:v>
      </x:c>
      <x:c r="D408" t="s">
        <x:v>21</x:v>
      </x:c>
      <x:c r="E408" t="s">
        <x:v>114</x:v>
      </x:c>
      <x:c r="F408" t="s">
        <x:v>13</x:v>
      </x:c>
      <x:c r="G408" t="s">
        <x:v>14</x:v>
      </x:c>
      <x:c r="H408" t="s">
        <x:v>34</x:v>
      </x:c>
      <x:c r="I408" t="s">
        <x:v>45</x:v>
      </x:c>
    </x:row>
    <x:row r="409">
      <x:c r="A409" t="s">
        <x:v>18</x:v>
      </x:c>
      <x:c r="B409">
        <x:v>3.03282123059034E-3</x:v>
      </x:c>
      <x:c r="C409" t="s">
        <x:v>10</x:v>
      </x:c>
      <x:c r="D409" t="s">
        <x:v>21</x:v>
      </x:c>
      <x:c r="E409" t="s">
        <x:v>114</x:v>
      </x:c>
      <x:c r="F409" t="s">
        <x:v>13</x:v>
      </x:c>
      <x:c r="G409" t="s">
        <x:v>14</x:v>
      </x:c>
      <x:c r="H409" t="s">
        <x:v>34</x:v>
      </x:c>
      <x:c r="I409" t="s">
        <x:v>45</x:v>
      </x:c>
    </x:row>
    <x:row r="410">
      <x:c r="A410" t="s">
        <x:v>19</x:v>
      </x:c>
      <x:c r="B410">
        <x:v>5.50710561964299E-2</x:v>
      </x:c>
      <x:c r="C410" t="s">
        <x:v>10</x:v>
      </x:c>
      <x:c r="D410" t="s">
        <x:v>21</x:v>
      </x:c>
      <x:c r="E410" t="s">
        <x:v>114</x:v>
      </x:c>
      <x:c r="F410" t="s">
        <x:v>13</x:v>
      </x:c>
      <x:c r="G410" t="s">
        <x:v>14</x:v>
      </x:c>
      <x:c r="H410" t="s">
        <x:v>34</x:v>
      </x:c>
      <x:c r="I410" t="s">
        <x:v>45</x:v>
      </x:c>
    </x:row>
    <x:row r="411">
      <x:c r="A411" t="s">
        <x:v>20</x:v>
      </x:c>
      <x:c r="B411">
        <x:v>10491475787776</x:v>
      </x:c>
      <x:c r="C411" t="s">
        <x:v>10</x:v>
      </x:c>
      <x:c r="D411" t="s">
        <x:v>21</x:v>
      </x:c>
      <x:c r="E411" t="s">
        <x:v>114</x:v>
      </x:c>
      <x:c r="F411" t="s">
        <x:v>13</x:v>
      </x:c>
      <x:c r="G411" t="s">
        <x:v>14</x:v>
      </x:c>
      <x:c r="H411" t="s">
        <x:v>34</x:v>
      </x:c>
      <x:c r="I411" t="s">
        <x:v>45</x:v>
      </x:c>
    </x:row>
    <x:row r="412">
      <x:c r="A412" t="s">
        <x:v>9</x:v>
      </x:c>
      <x:c r="B412">
        <x:v>0.60533108357297705</x:v>
      </x:c>
      <x:c r="C412" t="s">
        <x:v>23</x:v>
      </x:c>
      <x:c r="D412" t="s">
        <x:v>21</x:v>
      </x:c>
      <x:c r="E412" t="s">
        <x:v>115</x:v>
      </x:c>
      <x:c r="F412" t="s">
        <x:v>13</x:v>
      </x:c>
      <x:c r="G412" t="s">
        <x:v>14</x:v>
      </x:c>
      <x:c r="H412" t="s">
        <x:v>34</x:v>
      </x:c>
      <x:c r="I412" t="s">
        <x:v>45</x:v>
      </x:c>
    </x:row>
    <x:row r="413">
      <x:c r="A413" t="s">
        <x:v>17</x:v>
      </x:c>
      <x:c r="B413">
        <x:v>0.44071379303932101</x:v>
      </x:c>
      <x:c r="C413" t="s">
        <x:v>23</x:v>
      </x:c>
      <x:c r="D413" t="s">
        <x:v>21</x:v>
      </x:c>
      <x:c r="E413" t="s">
        <x:v>115</x:v>
      </x:c>
      <x:c r="F413" t="s">
        <x:v>13</x:v>
      </x:c>
      <x:c r="G413" t="s">
        <x:v>14</x:v>
      </x:c>
      <x:c r="H413" t="s">
        <x:v>34</x:v>
      </x:c>
      <x:c r="I413" t="s">
        <x:v>45</x:v>
      </x:c>
    </x:row>
    <x:row r="414">
      <x:c r="A414" t="s">
        <x:v>18</x:v>
      </x:c>
      <x:c r="B414">
        <x:v>0.51972371339797896</x:v>
      </x:c>
      <x:c r="C414" t="s">
        <x:v>23</x:v>
      </x:c>
      <x:c r="D414" t="s">
        <x:v>21</x:v>
      </x:c>
      <x:c r="E414" t="s">
        <x:v>115</x:v>
      </x:c>
      <x:c r="F414" t="s">
        <x:v>13</x:v>
      </x:c>
      <x:c r="G414" t="s">
        <x:v>14</x:v>
      </x:c>
      <x:c r="H414" t="s">
        <x:v>34</x:v>
      </x:c>
      <x:c r="I414" t="s">
        <x:v>45</x:v>
      </x:c>
    </x:row>
    <x:row r="415">
      <x:c r="A415" t="s">
        <x:v>19</x:v>
      </x:c>
      <x:c r="B415">
        <x:v>0.720918659349291</x:v>
      </x:c>
      <x:c r="C415" t="s">
        <x:v>23</x:v>
      </x:c>
      <x:c r="D415" t="s">
        <x:v>21</x:v>
      </x:c>
      <x:c r="E415" t="s">
        <x:v>115</x:v>
      </x:c>
      <x:c r="F415" t="s">
        <x:v>13</x:v>
      </x:c>
      <x:c r="G415" t="s">
        <x:v>14</x:v>
      </x:c>
      <x:c r="H415" t="s">
        <x:v>34</x:v>
      </x:c>
      <x:c r="I415" t="s">
        <x:v>45</x:v>
      </x:c>
    </x:row>
    <x:row r="416">
      <x:c r="A416" t="s">
        <x:v>20</x:v>
      </x:c>
      <x:c r="B416">
        <x:v>548507219918848</x:v>
      </x:c>
      <x:c r="C416" t="s">
        <x:v>23</x:v>
      </x:c>
      <x:c r="D416" t="s">
        <x:v>21</x:v>
      </x:c>
      <x:c r="E416" t="s">
        <x:v>115</x:v>
      </x:c>
      <x:c r="F416" t="s">
        <x:v>13</x:v>
      </x:c>
      <x:c r="G416" t="s">
        <x:v>14</x:v>
      </x:c>
      <x:c r="H416" t="s">
        <x:v>34</x:v>
      </x:c>
      <x:c r="I416" t="s">
        <x:v>45</x:v>
      </x:c>
    </x:row>
    <x:row r="417">
      <x:c r="A417" t="s">
        <x:v>9</x:v>
      </x:c>
      <x:c r="B417">
        <x:v>0.60533108357297705</x:v>
      </x:c>
      <x:c r="C417" t="s">
        <x:v>23</x:v>
      </x:c>
      <x:c r="D417" t="s">
        <x:v>11</x:v>
      </x:c>
      <x:c r="E417" t="s">
        <x:v>116</x:v>
      </x:c>
      <x:c r="F417" t="s">
        <x:v>13</x:v>
      </x:c>
      <x:c r="G417" t="s">
        <x:v>14</x:v>
      </x:c>
      <x:c r="H417" t="s">
        <x:v>34</x:v>
      </x:c>
      <x:c r="I417" t="s">
        <x:v>45</x:v>
      </x:c>
    </x:row>
    <x:row r="418">
      <x:c r="A418" t="s">
        <x:v>17</x:v>
      </x:c>
      <x:c r="B418">
        <x:v>0.44071379303932101</x:v>
      </x:c>
      <x:c r="C418" t="s">
        <x:v>23</x:v>
      </x:c>
      <x:c r="D418" t="s">
        <x:v>11</x:v>
      </x:c>
      <x:c r="E418" t="s">
        <x:v>116</x:v>
      </x:c>
      <x:c r="F418" t="s">
        <x:v>13</x:v>
      </x:c>
      <x:c r="G418" t="s">
        <x:v>14</x:v>
      </x:c>
      <x:c r="H418" t="s">
        <x:v>34</x:v>
      </x:c>
      <x:c r="I418" t="s">
        <x:v>45</x:v>
      </x:c>
    </x:row>
    <x:row r="419">
      <x:c r="A419" t="s">
        <x:v>18</x:v>
      </x:c>
      <x:c r="B419">
        <x:v>0.51972371339797896</x:v>
      </x:c>
      <x:c r="C419" t="s">
        <x:v>23</x:v>
      </x:c>
      <x:c r="D419" t="s">
        <x:v>11</x:v>
      </x:c>
      <x:c r="E419" t="s">
        <x:v>116</x:v>
      </x:c>
      <x:c r="F419" t="s">
        <x:v>13</x:v>
      </x:c>
      <x:c r="G419" t="s">
        <x:v>14</x:v>
      </x:c>
      <x:c r="H419" t="s">
        <x:v>34</x:v>
      </x:c>
      <x:c r="I419" t="s">
        <x:v>45</x:v>
      </x:c>
    </x:row>
    <x:row r="420">
      <x:c r="A420" t="s">
        <x:v>19</x:v>
      </x:c>
      <x:c r="B420">
        <x:v>0.720918659349291</x:v>
      </x:c>
      <x:c r="C420" t="s">
        <x:v>23</x:v>
      </x:c>
      <x:c r="D420" t="s">
        <x:v>11</x:v>
      </x:c>
      <x:c r="E420" t="s">
        <x:v>116</x:v>
      </x:c>
      <x:c r="F420" t="s">
        <x:v>13</x:v>
      </x:c>
      <x:c r="G420" t="s">
        <x:v>14</x:v>
      </x:c>
      <x:c r="H420" t="s">
        <x:v>34</x:v>
      </x:c>
      <x:c r="I420" t="s">
        <x:v>45</x:v>
      </x:c>
    </x:row>
    <x:row r="421">
      <x:c r="A421" t="s">
        <x:v>20</x:v>
      </x:c>
      <x:c r="B421">
        <x:v>548507219918848</x:v>
      </x:c>
      <x:c r="C421" t="s">
        <x:v>23</x:v>
      </x:c>
      <x:c r="D421" t="s">
        <x:v>11</x:v>
      </x:c>
      <x:c r="E421" t="s">
        <x:v>116</x:v>
      </x:c>
      <x:c r="F421" t="s">
        <x:v>13</x:v>
      </x:c>
      <x:c r="G421" t="s">
        <x:v>14</x:v>
      </x:c>
      <x:c r="H421" t="s">
        <x:v>34</x:v>
      </x:c>
      <x:c r="I421" t="s">
        <x:v>45</x:v>
      </x:c>
    </x:row>
    <x:row r="422">
      <x:c r="A422" t="s">
        <x:v>9</x:v>
      </x:c>
      <x:c r="B422">
        <x:v>0.93986955685692997</x:v>
      </x:c>
      <x:c r="C422" t="s">
        <x:v>10</x:v>
      </x:c>
      <x:c r="D422" t="s">
        <x:v>11</x:v>
      </x:c>
      <x:c r="E422" t="s">
        <x:v>117</x:v>
      </x:c>
      <x:c r="F422" t="s">
        <x:v>13</x:v>
      </x:c>
      <x:c r="G422" t="s">
        <x:v>14</x:v>
      </x:c>
      <x:c r="H422" t="s">
        <x:v>15</x:v>
      </x:c>
      <x:c r="I422" t="s">
        <x:v>87</x:v>
      </x:c>
    </x:row>
    <x:row r="423">
      <x:c r="A423" t="s">
        <x:v>17</x:v>
      </x:c>
      <x:c r="B423">
        <x:v>8.6713008582591997E-2</x:v>
      </x:c>
      <x:c r="C423" t="s">
        <x:v>10</x:v>
      </x:c>
      <x:c r="D423" t="s">
        <x:v>11</x:v>
      </x:c>
      <x:c r="E423" t="s">
        <x:v>117</x:v>
      </x:c>
      <x:c r="F423" t="s">
        <x:v>13</x:v>
      </x:c>
      <x:c r="G423" t="s">
        <x:v>14</x:v>
      </x:c>
      <x:c r="H423" t="s">
        <x:v>15</x:v>
      </x:c>
      <x:c r="I423" t="s">
        <x:v>87</x:v>
      </x:c>
    </x:row>
    <x:row r="424">
      <x:c r="A424" t="s">
        <x:v>18</x:v>
      </x:c>
      <x:c r="B424">
        <x:v>2.22818944603204E-2</x:v>
      </x:c>
      <x:c r="C424" t="s">
        <x:v>10</x:v>
      </x:c>
      <x:c r="D424" t="s">
        <x:v>11</x:v>
      </x:c>
      <x:c r="E424" t="s">
        <x:v>117</x:v>
      </x:c>
      <x:c r="F424" t="s">
        <x:v>13</x:v>
      </x:c>
      <x:c r="G424" t="s">
        <x:v>14</x:v>
      </x:c>
      <x:c r="H424" t="s">
        <x:v>15</x:v>
      </x:c>
      <x:c r="I424" t="s">
        <x:v>87</x:v>
      </x:c>
    </x:row>
    <x:row r="425">
      <x:c r="A425" t="s">
        <x:v>19</x:v>
      </x:c>
      <x:c r="B425">
        <x:v>0.14927121109015101</x:v>
      </x:c>
      <x:c r="C425" t="s">
        <x:v>10</x:v>
      </x:c>
      <x:c r="D425" t="s">
        <x:v>11</x:v>
      </x:c>
      <x:c r="E425" t="s">
        <x:v>117</x:v>
      </x:c>
      <x:c r="F425" t="s">
        <x:v>13</x:v>
      </x:c>
      <x:c r="G425" t="s">
        <x:v>14</x:v>
      </x:c>
      <x:c r="H425" t="s">
        <x:v>15</x:v>
      </x:c>
      <x:c r="I425" t="s">
        <x:v>87</x:v>
      </x:c>
    </x:row>
    <x:row r="426">
      <x:c r="A426" t="s">
        <x:v>20</x:v>
      </x:c>
      <x:c r="B426">
        <x:v>33634404794368</x:v>
      </x:c>
      <x:c r="C426" t="s">
        <x:v>10</x:v>
      </x:c>
      <x:c r="D426" t="s">
        <x:v>11</x:v>
      </x:c>
      <x:c r="E426" t="s">
        <x:v>117</x:v>
      </x:c>
      <x:c r="F426" t="s">
        <x:v>13</x:v>
      </x:c>
      <x:c r="G426" t="s">
        <x:v>14</x:v>
      </x:c>
      <x:c r="H426" t="s">
        <x:v>15</x:v>
      </x:c>
      <x:c r="I426" t="s">
        <x:v>87</x:v>
      </x:c>
    </x:row>
    <x:row r="427">
      <x:c r="A427" t="s">
        <x:v>9</x:v>
      </x:c>
      <x:c r="B427">
        <x:v>0.93986955685692997</x:v>
      </x:c>
      <x:c r="C427" t="s">
        <x:v>10</x:v>
      </x:c>
      <x:c r="D427" t="s">
        <x:v>21</x:v>
      </x:c>
      <x:c r="E427" t="s">
        <x:v>118</x:v>
      </x:c>
      <x:c r="F427" t="s">
        <x:v>13</x:v>
      </x:c>
      <x:c r="G427" t="s">
        <x:v>14</x:v>
      </x:c>
      <x:c r="H427" t="s">
        <x:v>15</x:v>
      </x:c>
      <x:c r="I427" t="s">
        <x:v>87</x:v>
      </x:c>
    </x:row>
    <x:row r="428">
      <x:c r="A428" t="s">
        <x:v>17</x:v>
      </x:c>
      <x:c r="B428">
        <x:v>8.6713008582591997E-2</x:v>
      </x:c>
      <x:c r="C428" t="s">
        <x:v>10</x:v>
      </x:c>
      <x:c r="D428" t="s">
        <x:v>21</x:v>
      </x:c>
      <x:c r="E428" t="s">
        <x:v>118</x:v>
      </x:c>
      <x:c r="F428" t="s">
        <x:v>13</x:v>
      </x:c>
      <x:c r="G428" t="s">
        <x:v>14</x:v>
      </x:c>
      <x:c r="H428" t="s">
        <x:v>15</x:v>
      </x:c>
      <x:c r="I428" t="s">
        <x:v>87</x:v>
      </x:c>
    </x:row>
    <x:row r="429">
      <x:c r="A429" t="s">
        <x:v>18</x:v>
      </x:c>
      <x:c r="B429">
        <x:v>2.22818944603204E-2</x:v>
      </x:c>
      <x:c r="C429" t="s">
        <x:v>10</x:v>
      </x:c>
      <x:c r="D429" t="s">
        <x:v>21</x:v>
      </x:c>
      <x:c r="E429" t="s">
        <x:v>118</x:v>
      </x:c>
      <x:c r="F429" t="s">
        <x:v>13</x:v>
      </x:c>
      <x:c r="G429" t="s">
        <x:v>14</x:v>
      </x:c>
      <x:c r="H429" t="s">
        <x:v>15</x:v>
      </x:c>
      <x:c r="I429" t="s">
        <x:v>87</x:v>
      </x:c>
    </x:row>
    <x:row r="430">
      <x:c r="A430" t="s">
        <x:v>19</x:v>
      </x:c>
      <x:c r="B430">
        <x:v>0.14927121109015101</x:v>
      </x:c>
      <x:c r="C430" t="s">
        <x:v>10</x:v>
      </x:c>
      <x:c r="D430" t="s">
        <x:v>21</x:v>
      </x:c>
      <x:c r="E430" t="s">
        <x:v>118</x:v>
      </x:c>
      <x:c r="F430" t="s">
        <x:v>13</x:v>
      </x:c>
      <x:c r="G430" t="s">
        <x:v>14</x:v>
      </x:c>
      <x:c r="H430" t="s">
        <x:v>15</x:v>
      </x:c>
      <x:c r="I430" t="s">
        <x:v>87</x:v>
      </x:c>
    </x:row>
    <x:row r="431">
      <x:c r="A431" t="s">
        <x:v>20</x:v>
      </x:c>
      <x:c r="B431">
        <x:v>33634404794368</x:v>
      </x:c>
      <x:c r="C431" t="s">
        <x:v>10</x:v>
      </x:c>
      <x:c r="D431" t="s">
        <x:v>21</x:v>
      </x:c>
      <x:c r="E431" t="s">
        <x:v>118</x:v>
      </x:c>
      <x:c r="F431" t="s">
        <x:v>13</x:v>
      </x:c>
      <x:c r="G431" t="s">
        <x:v>14</x:v>
      </x:c>
      <x:c r="H431" t="s">
        <x:v>15</x:v>
      </x:c>
      <x:c r="I431" t="s">
        <x:v>87</x:v>
      </x:c>
    </x:row>
    <x:row r="432">
      <x:c r="A432" t="s">
        <x:v>9</x:v>
      </x:c>
      <x:c r="B432">
        <x:v>0.85183098662423795</x:v>
      </x:c>
      <x:c r="C432" t="s">
        <x:v>23</x:v>
      </x:c>
      <x:c r="D432" t="s">
        <x:v>21</x:v>
      </x:c>
      <x:c r="E432" t="s">
        <x:v>119</x:v>
      </x:c>
      <x:c r="F432" t="s">
        <x:v>13</x:v>
      </x:c>
      <x:c r="G432" t="s">
        <x:v>14</x:v>
      </x:c>
      <x:c r="H432" t="s">
        <x:v>15</x:v>
      </x:c>
      <x:c r="I432" t="s">
        <x:v>87</x:v>
      </x:c>
    </x:row>
    <x:row r="433">
      <x:c r="A433" t="s">
        <x:v>17</x:v>
      </x:c>
      <x:c r="B433">
        <x:v>0.277180194854736</x:v>
      </x:c>
      <x:c r="C433" t="s">
        <x:v>23</x:v>
      </x:c>
      <x:c r="D433" t="s">
        <x:v>21</x:v>
      </x:c>
      <x:c r="E433" t="s">
        <x:v>119</x:v>
      </x:c>
      <x:c r="F433" t="s">
        <x:v>13</x:v>
      </x:c>
      <x:c r="G433" t="s">
        <x:v>14</x:v>
      </x:c>
      <x:c r="H433" t="s">
        <x:v>15</x:v>
      </x:c>
      <x:c r="I433" t="s">
        <x:v>87</x:v>
      </x:c>
    </x:row>
    <x:row r="434">
      <x:c r="A434" t="s">
        <x:v>18</x:v>
      </x:c>
      <x:c r="B434">
        <x:v>0.24793192744254999</x:v>
      </x:c>
      <x:c r="C434" t="s">
        <x:v>23</x:v>
      </x:c>
      <x:c r="D434" t="s">
        <x:v>21</x:v>
      </x:c>
      <x:c r="E434" t="s">
        <x:v>119</x:v>
      </x:c>
      <x:c r="F434" t="s">
        <x:v>13</x:v>
      </x:c>
      <x:c r="G434" t="s">
        <x:v>14</x:v>
      </x:c>
      <x:c r="H434" t="s">
        <x:v>15</x:v>
      </x:c>
      <x:c r="I434" t="s">
        <x:v>87</x:v>
      </x:c>
    </x:row>
    <x:row r="435">
      <x:c r="A435" t="s">
        <x:v>19</x:v>
      </x:c>
      <x:c r="B435">
        <x:v>0.497927632736475</x:v>
      </x:c>
      <x:c r="C435" t="s">
        <x:v>23</x:v>
      </x:c>
      <x:c r="D435" t="s">
        <x:v>21</x:v>
      </x:c>
      <x:c r="E435" t="s">
        <x:v>119</x:v>
      </x:c>
      <x:c r="F435" t="s">
        <x:v>13</x:v>
      </x:c>
      <x:c r="G435" t="s">
        <x:v>14</x:v>
      </x:c>
      <x:c r="H435" t="s">
        <x:v>15</x:v>
      </x:c>
      <x:c r="I435" t="s">
        <x:v>87</x:v>
      </x:c>
    </x:row>
    <x:row r="436">
      <x:c r="A436" t="s">
        <x:v>20</x:v>
      </x:c>
      <x:c r="B436">
        <x:v>166013907763200</x:v>
      </x:c>
      <x:c r="C436" t="s">
        <x:v>23</x:v>
      </x:c>
      <x:c r="D436" t="s">
        <x:v>21</x:v>
      </x:c>
      <x:c r="E436" t="s">
        <x:v>119</x:v>
      </x:c>
      <x:c r="F436" t="s">
        <x:v>13</x:v>
      </x:c>
      <x:c r="G436" t="s">
        <x:v>14</x:v>
      </x:c>
      <x:c r="H436" t="s">
        <x:v>15</x:v>
      </x:c>
      <x:c r="I436" t="s">
        <x:v>87</x:v>
      </x:c>
    </x:row>
    <x:row r="437">
      <x:c r="A437" t="s">
        <x:v>9</x:v>
      </x:c>
      <x:c r="B437">
        <x:v>0.85183098662423795</x:v>
      </x:c>
      <x:c r="C437" t="s">
        <x:v>23</x:v>
      </x:c>
      <x:c r="D437" t="s">
        <x:v>11</x:v>
      </x:c>
      <x:c r="E437" t="s">
        <x:v>120</x:v>
      </x:c>
      <x:c r="F437" t="s">
        <x:v>13</x:v>
      </x:c>
      <x:c r="G437" t="s">
        <x:v>14</x:v>
      </x:c>
      <x:c r="H437" t="s">
        <x:v>15</x:v>
      </x:c>
      <x:c r="I437" t="s">
        <x:v>87</x:v>
      </x:c>
    </x:row>
    <x:row r="438">
      <x:c r="A438" t="s">
        <x:v>17</x:v>
      </x:c>
      <x:c r="B438">
        <x:v>0.277180194854736</x:v>
      </x:c>
      <x:c r="C438" t="s">
        <x:v>23</x:v>
      </x:c>
      <x:c r="D438" t="s">
        <x:v>11</x:v>
      </x:c>
      <x:c r="E438" t="s">
        <x:v>120</x:v>
      </x:c>
      <x:c r="F438" t="s">
        <x:v>13</x:v>
      </x:c>
      <x:c r="G438" t="s">
        <x:v>14</x:v>
      </x:c>
      <x:c r="H438" t="s">
        <x:v>15</x:v>
      </x:c>
      <x:c r="I438" t="s">
        <x:v>87</x:v>
      </x:c>
    </x:row>
    <x:row r="439">
      <x:c r="A439" t="s">
        <x:v>18</x:v>
      </x:c>
      <x:c r="B439">
        <x:v>0.24793192744254999</x:v>
      </x:c>
      <x:c r="C439" t="s">
        <x:v>23</x:v>
      </x:c>
      <x:c r="D439" t="s">
        <x:v>11</x:v>
      </x:c>
      <x:c r="E439" t="s">
        <x:v>120</x:v>
      </x:c>
      <x:c r="F439" t="s">
        <x:v>13</x:v>
      </x:c>
      <x:c r="G439" t="s">
        <x:v>14</x:v>
      </x:c>
      <x:c r="H439" t="s">
        <x:v>15</x:v>
      </x:c>
      <x:c r="I439" t="s">
        <x:v>87</x:v>
      </x:c>
    </x:row>
    <x:row r="440">
      <x:c r="A440" t="s">
        <x:v>19</x:v>
      </x:c>
      <x:c r="B440">
        <x:v>0.497927632736475</x:v>
      </x:c>
      <x:c r="C440" t="s">
        <x:v>23</x:v>
      </x:c>
      <x:c r="D440" t="s">
        <x:v>11</x:v>
      </x:c>
      <x:c r="E440" t="s">
        <x:v>120</x:v>
      </x:c>
      <x:c r="F440" t="s">
        <x:v>13</x:v>
      </x:c>
      <x:c r="G440" t="s">
        <x:v>14</x:v>
      </x:c>
      <x:c r="H440" t="s">
        <x:v>15</x:v>
      </x:c>
      <x:c r="I440" t="s">
        <x:v>87</x:v>
      </x:c>
    </x:row>
    <x:row r="441">
      <x:c r="A441" t="s">
        <x:v>20</x:v>
      </x:c>
      <x:c r="B441">
        <x:v>166013907763200</x:v>
      </x:c>
      <x:c r="C441" t="s">
        <x:v>23</x:v>
      </x:c>
      <x:c r="D441" t="s">
        <x:v>11</x:v>
      </x:c>
      <x:c r="E441" t="s">
        <x:v>120</x:v>
      </x:c>
      <x:c r="F441" t="s">
        <x:v>13</x:v>
      </x:c>
      <x:c r="G441" t="s">
        <x:v>14</x:v>
      </x:c>
      <x:c r="H441" t="s">
        <x:v>15</x:v>
      </x:c>
      <x:c r="I441" t="s">
        <x:v>87</x:v>
      </x:c>
    </x:row>
    <x:row r="442">
      <x:c r="A442" t="s">
        <x:v>9</x:v>
      </x:c>
      <x:c r="B442">
        <x:v>0.91100447505402304</x:v>
      </x:c>
      <x:c r="C442" t="s">
        <x:v>10</x:v>
      </x:c>
      <x:c r="D442" t="s">
        <x:v>11</x:v>
      </x:c>
      <x:c r="E442" t="s">
        <x:v>121</x:v>
      </x:c>
      <x:c r="F442" t="s">
        <x:v>33</x:v>
      </x:c>
      <x:c r="G442" t="s">
        <x:v>27</x:v>
      </x:c>
      <x:c r="I442" t="s">
        <x:v>97</x:v>
      </x:c>
    </x:row>
    <x:row r="443">
      <x:c r="A443" t="s">
        <x:v>17</x:v>
      </x:c>
      <x:c r="B443">
        <x:v>0.43666115403175298</x:v>
      </x:c>
      <x:c r="C443" t="s">
        <x:v>10</x:v>
      </x:c>
      <x:c r="D443" t="s">
        <x:v>11</x:v>
      </x:c>
      <x:c r="E443" t="s">
        <x:v>121</x:v>
      </x:c>
      <x:c r="F443" t="s">
        <x:v>33</x:v>
      </x:c>
      <x:c r="G443" t="s">
        <x:v>27</x:v>
      </x:c>
      <x:c r="I443" t="s">
        <x:v>97</x:v>
      </x:c>
    </x:row>
    <x:row r="444">
      <x:c r="A444" t="s">
        <x:v>18</x:v>
      </x:c>
      <x:c r="B444">
        <x:v>0.34873980283737099</x:v>
      </x:c>
      <x:c r="C444" t="s">
        <x:v>10</x:v>
      </x:c>
      <x:c r="D444" t="s">
        <x:v>11</x:v>
      </x:c>
      <x:c r="E444" t="s">
        <x:v>121</x:v>
      </x:c>
      <x:c r="F444" t="s">
        <x:v>33</x:v>
      </x:c>
      <x:c r="G444" t="s">
        <x:v>27</x:v>
      </x:c>
      <x:c r="I444" t="s">
        <x:v>97</x:v>
      </x:c>
    </x:row>
    <x:row r="445">
      <x:c r="A445" t="s">
        <x:v>19</x:v>
      </x:c>
      <x:c r="B445">
        <x:v>0.59054195688144895</x:v>
      </x:c>
      <x:c r="C445" t="s">
        <x:v>10</x:v>
      </x:c>
      <x:c r="D445" t="s">
        <x:v>11</x:v>
      </x:c>
      <x:c r="E445" t="s">
        <x:v>121</x:v>
      </x:c>
      <x:c r="F445" t="s">
        <x:v>33</x:v>
      </x:c>
      <x:c r="G445" t="s">
        <x:v>27</x:v>
      </x:c>
      <x:c r="I445" t="s">
        <x:v>97</x:v>
      </x:c>
    </x:row>
    <x:row r="446">
      <x:c r="A446" t="s">
        <x:v>20</x:v>
      </x:c>
      <x:c r="B446">
        <x:v>18807049420800</x:v>
      </x:c>
      <x:c r="C446" t="s">
        <x:v>10</x:v>
      </x:c>
      <x:c r="D446" t="s">
        <x:v>11</x:v>
      </x:c>
      <x:c r="E446" t="s">
        <x:v>121</x:v>
      </x:c>
      <x:c r="F446" t="s">
        <x:v>33</x:v>
      </x:c>
      <x:c r="G446" t="s">
        <x:v>27</x:v>
      </x:c>
      <x:c r="I446" t="s">
        <x:v>97</x:v>
      </x:c>
    </x:row>
    <x:row r="447">
      <x:c r="A447" t="s">
        <x:v>9</x:v>
      </x:c>
      <x:c r="B447">
        <x:v>0.91100447505402304</x:v>
      </x:c>
      <x:c r="C447" t="s">
        <x:v>10</x:v>
      </x:c>
      <x:c r="D447" t="s">
        <x:v>21</x:v>
      </x:c>
      <x:c r="E447" t="s">
        <x:v>122</x:v>
      </x:c>
      <x:c r="F447" t="s">
        <x:v>33</x:v>
      </x:c>
      <x:c r="G447" t="s">
        <x:v>27</x:v>
      </x:c>
      <x:c r="I447" t="s">
        <x:v>97</x:v>
      </x:c>
    </x:row>
    <x:row r="448">
      <x:c r="A448" t="s">
        <x:v>17</x:v>
      </x:c>
      <x:c r="B448">
        <x:v>0.43666115403175298</x:v>
      </x:c>
      <x:c r="C448" t="s">
        <x:v>10</x:v>
      </x:c>
      <x:c r="D448" t="s">
        <x:v>21</x:v>
      </x:c>
      <x:c r="E448" t="s">
        <x:v>122</x:v>
      </x:c>
      <x:c r="F448" t="s">
        <x:v>33</x:v>
      </x:c>
      <x:c r="G448" t="s">
        <x:v>27</x:v>
      </x:c>
      <x:c r="I448" t="s">
        <x:v>97</x:v>
      </x:c>
    </x:row>
    <x:row r="449">
      <x:c r="A449" t="s">
        <x:v>18</x:v>
      </x:c>
      <x:c r="B449">
        <x:v>0.34873980283737099</x:v>
      </x:c>
      <x:c r="C449" t="s">
        <x:v>10</x:v>
      </x:c>
      <x:c r="D449" t="s">
        <x:v>21</x:v>
      </x:c>
      <x:c r="E449" t="s">
        <x:v>122</x:v>
      </x:c>
      <x:c r="F449" t="s">
        <x:v>33</x:v>
      </x:c>
      <x:c r="G449" t="s">
        <x:v>27</x:v>
      </x:c>
      <x:c r="I449" t="s">
        <x:v>97</x:v>
      </x:c>
    </x:row>
    <x:row r="450">
      <x:c r="A450" t="s">
        <x:v>19</x:v>
      </x:c>
      <x:c r="B450">
        <x:v>0.59054195688144895</x:v>
      </x:c>
      <x:c r="C450" t="s">
        <x:v>10</x:v>
      </x:c>
      <x:c r="D450" t="s">
        <x:v>21</x:v>
      </x:c>
      <x:c r="E450" t="s">
        <x:v>122</x:v>
      </x:c>
      <x:c r="F450" t="s">
        <x:v>33</x:v>
      </x:c>
      <x:c r="G450" t="s">
        <x:v>27</x:v>
      </x:c>
      <x:c r="I450" t="s">
        <x:v>97</x:v>
      </x:c>
    </x:row>
    <x:row r="451">
      <x:c r="A451" t="s">
        <x:v>20</x:v>
      </x:c>
      <x:c r="B451">
        <x:v>18807049420800</x:v>
      </x:c>
      <x:c r="C451" t="s">
        <x:v>10</x:v>
      </x:c>
      <x:c r="D451" t="s">
        <x:v>21</x:v>
      </x:c>
      <x:c r="E451" t="s">
        <x:v>122</x:v>
      </x:c>
      <x:c r="F451" t="s">
        <x:v>33</x:v>
      </x:c>
      <x:c r="G451" t="s">
        <x:v>27</x:v>
      </x:c>
      <x:c r="I451" t="s">
        <x:v>97</x:v>
      </x:c>
    </x:row>
    <x:row r="452">
      <x:c r="A452" t="s">
        <x:v>9</x:v>
      </x:c>
      <x:c r="B452">
        <x:v>0.88956032921869099</x:v>
      </x:c>
      <x:c r="C452" t="s">
        <x:v>23</x:v>
      </x:c>
      <x:c r="D452" t="s">
        <x:v>21</x:v>
      </x:c>
      <x:c r="E452" t="s">
        <x:v>123</x:v>
      </x:c>
      <x:c r="F452" t="s">
        <x:v>33</x:v>
      </x:c>
      <x:c r="G452" t="s">
        <x:v>27</x:v>
      </x:c>
      <x:c r="I452" t="s">
        <x:v>97</x:v>
      </x:c>
    </x:row>
    <x:row r="453">
      <x:c r="A453" t="s">
        <x:v>17</x:v>
      </x:c>
      <x:c r="B453">
        <x:v>0.38389837741851801</x:v>
      </x:c>
      <x:c r="C453" t="s">
        <x:v>23</x:v>
      </x:c>
      <x:c r="D453" t="s">
        <x:v>21</x:v>
      </x:c>
      <x:c r="E453" t="s">
        <x:v>123</x:v>
      </x:c>
      <x:c r="F453" t="s">
        <x:v>33</x:v>
      </x:c>
      <x:c r="G453" t="s">
        <x:v>27</x:v>
      </x:c>
      <x:c r="I453" t="s">
        <x:v>97</x:v>
      </x:c>
    </x:row>
    <x:row r="454">
      <x:c r="A454" t="s">
        <x:v>18</x:v>
      </x:c>
      <x:c r="B454">
        <x:v>0.37169265747070301</x:v>
      </x:c>
      <x:c r="C454" t="s">
        <x:v>23</x:v>
      </x:c>
      <x:c r="D454" t="s">
        <x:v>21</x:v>
      </x:c>
      <x:c r="E454" t="s">
        <x:v>123</x:v>
      </x:c>
      <x:c r="F454" t="s">
        <x:v>33</x:v>
      </x:c>
      <x:c r="G454" t="s">
        <x:v>27</x:v>
      </x:c>
      <x:c r="I454" t="s">
        <x:v>97</x:v>
      </x:c>
    </x:row>
    <x:row r="455">
      <x:c r="A455" t="s">
        <x:v>19</x:v>
      </x:c>
      <x:c r="B455">
        <x:v>0.60966602125319602</x:v>
      </x:c>
      <x:c r="C455" t="s">
        <x:v>23</x:v>
      </x:c>
      <x:c r="D455" t="s">
        <x:v>21</x:v>
      </x:c>
      <x:c r="E455" t="s">
        <x:v>123</x:v>
      </x:c>
      <x:c r="F455" t="s">
        <x:v>33</x:v>
      </x:c>
      <x:c r="G455" t="s">
        <x:v>27</x:v>
      </x:c>
      <x:c r="I455" t="s">
        <x:v>97</x:v>
      </x:c>
    </x:row>
    <x:row r="456">
      <x:c r="A456" t="s">
        <x:v>20</x:v>
      </x:c>
      <x:c r="B456">
        <x:v>150764710264832</x:v>
      </x:c>
      <x:c r="C456" t="s">
        <x:v>23</x:v>
      </x:c>
      <x:c r="D456" t="s">
        <x:v>21</x:v>
      </x:c>
      <x:c r="E456" t="s">
        <x:v>123</x:v>
      </x:c>
      <x:c r="F456" t="s">
        <x:v>33</x:v>
      </x:c>
      <x:c r="G456" t="s">
        <x:v>27</x:v>
      </x:c>
      <x:c r="I456" t="s">
        <x:v>97</x:v>
      </x:c>
    </x:row>
    <x:row r="457">
      <x:c r="A457" t="s">
        <x:v>9</x:v>
      </x:c>
      <x:c r="B457">
        <x:v>0.88956032921869099</x:v>
      </x:c>
      <x:c r="C457" t="s">
        <x:v>23</x:v>
      </x:c>
      <x:c r="D457" t="s">
        <x:v>11</x:v>
      </x:c>
      <x:c r="E457" t="s">
        <x:v>124</x:v>
      </x:c>
      <x:c r="F457" t="s">
        <x:v>33</x:v>
      </x:c>
      <x:c r="G457" t="s">
        <x:v>27</x:v>
      </x:c>
      <x:c r="I457" t="s">
        <x:v>97</x:v>
      </x:c>
    </x:row>
    <x:row r="458">
      <x:c r="A458" t="s">
        <x:v>17</x:v>
      </x:c>
      <x:c r="B458">
        <x:v>0.38389837741851801</x:v>
      </x:c>
      <x:c r="C458" t="s">
        <x:v>23</x:v>
      </x:c>
      <x:c r="D458" t="s">
        <x:v>11</x:v>
      </x:c>
      <x:c r="E458" t="s">
        <x:v>124</x:v>
      </x:c>
      <x:c r="F458" t="s">
        <x:v>33</x:v>
      </x:c>
      <x:c r="G458" t="s">
        <x:v>27</x:v>
      </x:c>
      <x:c r="I458" t="s">
        <x:v>97</x:v>
      </x:c>
    </x:row>
    <x:row r="459">
      <x:c r="A459" t="s">
        <x:v>18</x:v>
      </x:c>
      <x:c r="B459">
        <x:v>0.37169265747070301</x:v>
      </x:c>
      <x:c r="C459" t="s">
        <x:v>23</x:v>
      </x:c>
      <x:c r="D459" t="s">
        <x:v>11</x:v>
      </x:c>
      <x:c r="E459" t="s">
        <x:v>124</x:v>
      </x:c>
      <x:c r="F459" t="s">
        <x:v>33</x:v>
      </x:c>
      <x:c r="G459" t="s">
        <x:v>27</x:v>
      </x:c>
      <x:c r="I459" t="s">
        <x:v>97</x:v>
      </x:c>
    </x:row>
    <x:row r="460">
      <x:c r="A460" t="s">
        <x:v>19</x:v>
      </x:c>
      <x:c r="B460">
        <x:v>0.60966602125319602</x:v>
      </x:c>
      <x:c r="C460" t="s">
        <x:v>23</x:v>
      </x:c>
      <x:c r="D460" t="s">
        <x:v>11</x:v>
      </x:c>
      <x:c r="E460" t="s">
        <x:v>124</x:v>
      </x:c>
      <x:c r="F460" t="s">
        <x:v>33</x:v>
      </x:c>
      <x:c r="G460" t="s">
        <x:v>27</x:v>
      </x:c>
      <x:c r="I460" t="s">
        <x:v>97</x:v>
      </x:c>
    </x:row>
    <x:row r="461">
      <x:c r="A461" t="s">
        <x:v>20</x:v>
      </x:c>
      <x:c r="B461">
        <x:v>150764710264832</x:v>
      </x:c>
      <x:c r="C461" t="s">
        <x:v>23</x:v>
      </x:c>
      <x:c r="D461" t="s">
        <x:v>11</x:v>
      </x:c>
      <x:c r="E461" t="s">
        <x:v>124</x:v>
      </x:c>
      <x:c r="F461" t="s">
        <x:v>33</x:v>
      </x:c>
      <x:c r="G461" t="s">
        <x:v>27</x:v>
      </x:c>
      <x:c r="I461" t="s">
        <x:v>97</x:v>
      </x:c>
    </x:row>
    <x:row r="462">
      <x:c r="A462" t="s">
        <x:v>9</x:v>
      </x:c>
      <x:c r="B462">
        <x:v>0.94579282996348002</x:v>
      </x:c>
      <x:c r="C462" t="s">
        <x:v>10</x:v>
      </x:c>
      <x:c r="D462" t="s">
        <x:v>11</x:v>
      </x:c>
      <x:c r="E462" t="s">
        <x:v>125</x:v>
      </x:c>
      <x:c r="F462" t="s">
        <x:v>33</x:v>
      </x:c>
      <x:c r="G462" t="s">
        <x:v>27</x:v>
      </x:c>
      <x:c r="I462" t="s">
        <x:v>87</x:v>
      </x:c>
    </x:row>
    <x:row r="463">
      <x:c r="A463" t="s">
        <x:v>17</x:v>
      </x:c>
      <x:c r="B463">
        <x:v>0.176797404885292</x:v>
      </x:c>
      <x:c r="C463" t="s">
        <x:v>10</x:v>
      </x:c>
      <x:c r="D463" t="s">
        <x:v>11</x:v>
      </x:c>
      <x:c r="E463" t="s">
        <x:v>125</x:v>
      </x:c>
      <x:c r="F463" t="s">
        <x:v>33</x:v>
      </x:c>
      <x:c r="G463" t="s">
        <x:v>27</x:v>
      </x:c>
      <x:c r="I463" t="s">
        <x:v>87</x:v>
      </x:c>
    </x:row>
    <x:row r="464">
      <x:c r="A464" t="s">
        <x:v>18</x:v>
      </x:c>
      <x:c r="B464">
        <x:v>6.8211317062377902E-2</x:v>
      </x:c>
      <x:c r="C464" t="s">
        <x:v>10</x:v>
      </x:c>
      <x:c r="D464" t="s">
        <x:v>11</x:v>
      </x:c>
      <x:c r="E464" t="s">
        <x:v>125</x:v>
      </x:c>
      <x:c r="F464" t="s">
        <x:v>33</x:v>
      </x:c>
      <x:c r="G464" t="s">
        <x:v>27</x:v>
      </x:c>
      <x:c r="I464" t="s">
        <x:v>87</x:v>
      </x:c>
    </x:row>
    <x:row r="465">
      <x:c r="A465" t="s">
        <x:v>19</x:v>
      </x:c>
      <x:c r="B465">
        <x:v>0.26117296388098399</x:v>
      </x:c>
      <x:c r="C465" t="s">
        <x:v>10</x:v>
      </x:c>
      <x:c r="D465" t="s">
        <x:v>11</x:v>
      </x:c>
      <x:c r="E465" t="s">
        <x:v>125</x:v>
      </x:c>
      <x:c r="F465" t="s">
        <x:v>33</x:v>
      </x:c>
      <x:c r="G465" t="s">
        <x:v>27</x:v>
      </x:c>
      <x:c r="I465" t="s">
        <x:v>87</x:v>
      </x:c>
    </x:row>
    <x:row r="466">
      <x:c r="A466" t="s">
        <x:v>20</x:v>
      </x:c>
      <x:c r="B466">
        <x:v>64365080346624</x:v>
      </x:c>
      <x:c r="C466" t="s">
        <x:v>10</x:v>
      </x:c>
      <x:c r="D466" t="s">
        <x:v>11</x:v>
      </x:c>
      <x:c r="E466" t="s">
        <x:v>125</x:v>
      </x:c>
      <x:c r="F466" t="s">
        <x:v>33</x:v>
      </x:c>
      <x:c r="G466" t="s">
        <x:v>27</x:v>
      </x:c>
      <x:c r="I466" t="s">
        <x:v>87</x:v>
      </x:c>
    </x:row>
    <x:row r="467">
      <x:c r="A467" t="s">
        <x:v>9</x:v>
      </x:c>
      <x:c r="B467">
        <x:v>0.94579282996348002</x:v>
      </x:c>
      <x:c r="C467" t="s">
        <x:v>10</x:v>
      </x:c>
      <x:c r="D467" t="s">
        <x:v>21</x:v>
      </x:c>
      <x:c r="E467" t="s">
        <x:v>126</x:v>
      </x:c>
      <x:c r="F467" t="s">
        <x:v>33</x:v>
      </x:c>
      <x:c r="G467" t="s">
        <x:v>27</x:v>
      </x:c>
      <x:c r="I467" t="s">
        <x:v>87</x:v>
      </x:c>
    </x:row>
    <x:row r="468">
      <x:c r="A468" t="s">
        <x:v>17</x:v>
      </x:c>
      <x:c r="B468">
        <x:v>0.176797404885292</x:v>
      </x:c>
      <x:c r="C468" t="s">
        <x:v>10</x:v>
      </x:c>
      <x:c r="D468" t="s">
        <x:v>21</x:v>
      </x:c>
      <x:c r="E468" t="s">
        <x:v>126</x:v>
      </x:c>
      <x:c r="F468" t="s">
        <x:v>33</x:v>
      </x:c>
      <x:c r="G468" t="s">
        <x:v>27</x:v>
      </x:c>
      <x:c r="I468" t="s">
        <x:v>87</x:v>
      </x:c>
    </x:row>
    <x:row r="469">
      <x:c r="A469" t="s">
        <x:v>18</x:v>
      </x:c>
      <x:c r="B469">
        <x:v>6.8211317062377902E-2</x:v>
      </x:c>
      <x:c r="C469" t="s">
        <x:v>10</x:v>
      </x:c>
      <x:c r="D469" t="s">
        <x:v>21</x:v>
      </x:c>
      <x:c r="E469" t="s">
        <x:v>126</x:v>
      </x:c>
      <x:c r="F469" t="s">
        <x:v>33</x:v>
      </x:c>
      <x:c r="G469" t="s">
        <x:v>27</x:v>
      </x:c>
      <x:c r="I469" t="s">
        <x:v>87</x:v>
      </x:c>
    </x:row>
    <x:row r="470">
      <x:c r="A470" t="s">
        <x:v>19</x:v>
      </x:c>
      <x:c r="B470">
        <x:v>0.26117296388098399</x:v>
      </x:c>
      <x:c r="C470" t="s">
        <x:v>10</x:v>
      </x:c>
      <x:c r="D470" t="s">
        <x:v>21</x:v>
      </x:c>
      <x:c r="E470" t="s">
        <x:v>126</x:v>
      </x:c>
      <x:c r="F470" t="s">
        <x:v>33</x:v>
      </x:c>
      <x:c r="G470" t="s">
        <x:v>27</x:v>
      </x:c>
      <x:c r="I470" t="s">
        <x:v>87</x:v>
      </x:c>
    </x:row>
    <x:row r="471">
      <x:c r="A471" t="s">
        <x:v>20</x:v>
      </x:c>
      <x:c r="B471">
        <x:v>64365080346624</x:v>
      </x:c>
      <x:c r="C471" t="s">
        <x:v>10</x:v>
      </x:c>
      <x:c r="D471" t="s">
        <x:v>21</x:v>
      </x:c>
      <x:c r="E471" t="s">
        <x:v>126</x:v>
      </x:c>
      <x:c r="F471" t="s">
        <x:v>33</x:v>
      </x:c>
      <x:c r="G471" t="s">
        <x:v>27</x:v>
      </x:c>
      <x:c r="I471" t="s">
        <x:v>87</x:v>
      </x:c>
    </x:row>
    <x:row r="472">
      <x:c r="A472" t="s">
        <x:v>9</x:v>
      </x:c>
      <x:c r="B472">
        <x:v>0.93457373443331104</x:v>
      </x:c>
      <x:c r="C472" t="s">
        <x:v>23</x:v>
      </x:c>
      <x:c r="D472" t="s">
        <x:v>21</x:v>
      </x:c>
      <x:c r="E472" t="s">
        <x:v>127</x:v>
      </x:c>
      <x:c r="F472" t="s">
        <x:v>33</x:v>
      </x:c>
      <x:c r="G472" t="s">
        <x:v>27</x:v>
      </x:c>
      <x:c r="I472" t="s">
        <x:v>87</x:v>
      </x:c>
    </x:row>
    <x:row r="473">
      <x:c r="A473" t="s">
        <x:v>17</x:v>
      </x:c>
      <x:c r="B473">
        <x:v>0.25524088740348799</x:v>
      </x:c>
      <x:c r="C473" t="s">
        <x:v>23</x:v>
      </x:c>
      <x:c r="D473" t="s">
        <x:v>21</x:v>
      </x:c>
      <x:c r="E473" t="s">
        <x:v>127</x:v>
      </x:c>
      <x:c r="F473" t="s">
        <x:v>33</x:v>
      </x:c>
      <x:c r="G473" t="s">
        <x:v>27</x:v>
      </x:c>
      <x:c r="I473" t="s">
        <x:v>87</x:v>
      </x:c>
    </x:row>
    <x:row r="474">
      <x:c r="A474" t="s">
        <x:v>18</x:v>
      </x:c>
      <x:c r="B474">
        <x:v>0.23275461792945801</x:v>
      </x:c>
      <x:c r="C474" t="s">
        <x:v>23</x:v>
      </x:c>
      <x:c r="D474" t="s">
        <x:v>21</x:v>
      </x:c>
      <x:c r="E474" t="s">
        <x:v>127</x:v>
      </x:c>
      <x:c r="F474" t="s">
        <x:v>33</x:v>
      </x:c>
      <x:c r="G474" t="s">
        <x:v>27</x:v>
      </x:c>
      <x:c r="I474" t="s">
        <x:v>87</x:v>
      </x:c>
    </x:row>
    <x:row r="475">
      <x:c r="A475" t="s">
        <x:v>19</x:v>
      </x:c>
      <x:c r="B475">
        <x:v>0.482446492296771</x:v>
      </x:c>
      <x:c r="C475" t="s">
        <x:v>23</x:v>
      </x:c>
      <x:c r="D475" t="s">
        <x:v>21</x:v>
      </x:c>
      <x:c r="E475" t="s">
        <x:v>127</x:v>
      </x:c>
      <x:c r="F475" t="s">
        <x:v>33</x:v>
      </x:c>
      <x:c r="G475" t="s">
        <x:v>27</x:v>
      </x:c>
      <x:c r="I475" t="s">
        <x:v>87</x:v>
      </x:c>
    </x:row>
    <x:row r="476">
      <x:c r="A476" t="s">
        <x:v>20</x:v>
      </x:c>
      <x:c r="B476">
        <x:v>32210807685120</x:v>
      </x:c>
      <x:c r="C476" t="s">
        <x:v>23</x:v>
      </x:c>
      <x:c r="D476" t="s">
        <x:v>21</x:v>
      </x:c>
      <x:c r="E476" t="s">
        <x:v>127</x:v>
      </x:c>
      <x:c r="F476" t="s">
        <x:v>33</x:v>
      </x:c>
      <x:c r="G476" t="s">
        <x:v>27</x:v>
      </x:c>
      <x:c r="I476" t="s">
        <x:v>87</x:v>
      </x:c>
    </x:row>
    <x:row r="477">
      <x:c r="A477" t="s">
        <x:v>9</x:v>
      </x:c>
      <x:c r="B477">
        <x:v>0.93457373443331104</x:v>
      </x:c>
      <x:c r="C477" t="s">
        <x:v>23</x:v>
      </x:c>
      <x:c r="D477" t="s">
        <x:v>11</x:v>
      </x:c>
      <x:c r="E477" t="s">
        <x:v>128</x:v>
      </x:c>
      <x:c r="F477" t="s">
        <x:v>33</x:v>
      </x:c>
      <x:c r="G477" t="s">
        <x:v>27</x:v>
      </x:c>
      <x:c r="I477" t="s">
        <x:v>87</x:v>
      </x:c>
    </x:row>
    <x:row r="478">
      <x:c r="A478" t="s">
        <x:v>17</x:v>
      </x:c>
      <x:c r="B478">
        <x:v>0.25524088740348799</x:v>
      </x:c>
      <x:c r="C478" t="s">
        <x:v>23</x:v>
      </x:c>
      <x:c r="D478" t="s">
        <x:v>11</x:v>
      </x:c>
      <x:c r="E478" t="s">
        <x:v>128</x:v>
      </x:c>
      <x:c r="F478" t="s">
        <x:v>33</x:v>
      </x:c>
      <x:c r="G478" t="s">
        <x:v>27</x:v>
      </x:c>
      <x:c r="I478" t="s">
        <x:v>87</x:v>
      </x:c>
    </x:row>
    <x:row r="479">
      <x:c r="A479" t="s">
        <x:v>18</x:v>
      </x:c>
      <x:c r="B479">
        <x:v>0.23275461792945801</x:v>
      </x:c>
      <x:c r="C479" t="s">
        <x:v>23</x:v>
      </x:c>
      <x:c r="D479" t="s">
        <x:v>11</x:v>
      </x:c>
      <x:c r="E479" t="s">
        <x:v>128</x:v>
      </x:c>
      <x:c r="F479" t="s">
        <x:v>33</x:v>
      </x:c>
      <x:c r="G479" t="s">
        <x:v>27</x:v>
      </x:c>
      <x:c r="I479" t="s">
        <x:v>87</x:v>
      </x:c>
    </x:row>
    <x:row r="480">
      <x:c r="A480" t="s">
        <x:v>19</x:v>
      </x:c>
      <x:c r="B480">
        <x:v>0.482446492296771</x:v>
      </x:c>
      <x:c r="C480" t="s">
        <x:v>23</x:v>
      </x:c>
      <x:c r="D480" t="s">
        <x:v>11</x:v>
      </x:c>
      <x:c r="E480" t="s">
        <x:v>128</x:v>
      </x:c>
      <x:c r="F480" t="s">
        <x:v>33</x:v>
      </x:c>
      <x:c r="G480" t="s">
        <x:v>27</x:v>
      </x:c>
      <x:c r="I480" t="s">
        <x:v>87</x:v>
      </x:c>
    </x:row>
    <x:row r="481">
      <x:c r="A481" t="s">
        <x:v>20</x:v>
      </x:c>
      <x:c r="B481">
        <x:v>32210807685120</x:v>
      </x:c>
      <x:c r="C481" t="s">
        <x:v>23</x:v>
      </x:c>
      <x:c r="D481" t="s">
        <x:v>11</x:v>
      </x:c>
      <x:c r="E481" t="s">
        <x:v>128</x:v>
      </x:c>
      <x:c r="F481" t="s">
        <x:v>33</x:v>
      </x:c>
      <x:c r="G481" t="s">
        <x:v>27</x:v>
      </x:c>
      <x:c r="I481" t="s">
        <x:v>87</x:v>
      </x:c>
    </x:row>
    <x:row r="482">
      <x:c r="A482" t="s">
        <x:v>9</x:v>
      </x:c>
      <x:c r="B482">
        <x:v>0.93999597942435198</x:v>
      </x:c>
      <x:c r="C482" t="s">
        <x:v>10</x:v>
      </x:c>
      <x:c r="D482" t="s">
        <x:v>11</x:v>
      </x:c>
      <x:c r="E482" t="s">
        <x:v>129</x:v>
      </x:c>
      <x:c r="F482" t="s">
        <x:v>13</x:v>
      </x:c>
      <x:c r="G482" t="s">
        <x:v>27</x:v>
      </x:c>
      <x:c r="I482" t="s">
        <x:v>92</x:v>
      </x:c>
    </x:row>
    <x:row r="483">
      <x:c r="A483" t="s">
        <x:v>17</x:v>
      </x:c>
      <x:c r="B483">
        <x:v>0.56627196073532104</x:v>
      </x:c>
      <x:c r="C483" t="s">
        <x:v>10</x:v>
      </x:c>
      <x:c r="D483" t="s">
        <x:v>11</x:v>
      </x:c>
      <x:c r="E483" t="s">
        <x:v>129</x:v>
      </x:c>
      <x:c r="F483" t="s">
        <x:v>13</x:v>
      </x:c>
      <x:c r="G483" t="s">
        <x:v>27</x:v>
      </x:c>
      <x:c r="I483" t="s">
        <x:v>92</x:v>
      </x:c>
    </x:row>
    <x:row r="484">
      <x:c r="A484" t="s">
        <x:v>18</x:v>
      </x:c>
      <x:c r="B484">
        <x:v>0.59872585535049405</x:v>
      </x:c>
      <x:c r="C484" t="s">
        <x:v>10</x:v>
      </x:c>
      <x:c r="D484" t="s">
        <x:v>11</x:v>
      </x:c>
      <x:c r="E484" t="s">
        <x:v>129</x:v>
      </x:c>
      <x:c r="F484" t="s">
        <x:v>13</x:v>
      </x:c>
      <x:c r="G484" t="s">
        <x:v>27</x:v>
      </x:c>
      <x:c r="I484" t="s">
        <x:v>92</x:v>
      </x:c>
    </x:row>
    <x:row r="485">
      <x:c r="A485" t="s">
        <x:v>19</x:v>
      </x:c>
      <x:c r="B485">
        <x:v>0.77377377530547897</x:v>
      </x:c>
      <x:c r="C485" t="s">
        <x:v>10</x:v>
      </x:c>
      <x:c r="D485" t="s">
        <x:v>11</x:v>
      </x:c>
      <x:c r="E485" t="s">
        <x:v>129</x:v>
      </x:c>
      <x:c r="F485" t="s">
        <x:v>13</x:v>
      </x:c>
      <x:c r="G485" t="s">
        <x:v>27</x:v>
      </x:c>
      <x:c r="I485" t="s">
        <x:v>92</x:v>
      </x:c>
    </x:row>
    <x:row r="486">
      <x:c r="A486" t="s">
        <x:v>20</x:v>
      </x:c>
      <x:c r="B486">
        <x:v>8649857564672</x:v>
      </x:c>
      <x:c r="C486" t="s">
        <x:v>10</x:v>
      </x:c>
      <x:c r="D486" t="s">
        <x:v>11</x:v>
      </x:c>
      <x:c r="E486" t="s">
        <x:v>129</x:v>
      </x:c>
      <x:c r="F486" t="s">
        <x:v>13</x:v>
      </x:c>
      <x:c r="G486" t="s">
        <x:v>27</x:v>
      </x:c>
      <x:c r="I486" t="s">
        <x:v>92</x:v>
      </x:c>
    </x:row>
    <x:row r="487">
      <x:c r="A487" t="s">
        <x:v>9</x:v>
      </x:c>
      <x:c r="B487">
        <x:v>0.93999597942435198</x:v>
      </x:c>
      <x:c r="C487" t="s">
        <x:v>10</x:v>
      </x:c>
      <x:c r="D487" t="s">
        <x:v>21</x:v>
      </x:c>
      <x:c r="E487" t="s">
        <x:v>130</x:v>
      </x:c>
      <x:c r="F487" t="s">
        <x:v>13</x:v>
      </x:c>
      <x:c r="G487" t="s">
        <x:v>27</x:v>
      </x:c>
      <x:c r="I487" t="s">
        <x:v>92</x:v>
      </x:c>
    </x:row>
    <x:row r="488">
      <x:c r="A488" t="s">
        <x:v>17</x:v>
      </x:c>
      <x:c r="B488">
        <x:v>0.56627196073532104</x:v>
      </x:c>
      <x:c r="C488" t="s">
        <x:v>10</x:v>
      </x:c>
      <x:c r="D488" t="s">
        <x:v>21</x:v>
      </x:c>
      <x:c r="E488" t="s">
        <x:v>130</x:v>
      </x:c>
      <x:c r="F488" t="s">
        <x:v>13</x:v>
      </x:c>
      <x:c r="G488" t="s">
        <x:v>27</x:v>
      </x:c>
      <x:c r="I488" t="s">
        <x:v>92</x:v>
      </x:c>
    </x:row>
    <x:row r="489">
      <x:c r="A489" t="s">
        <x:v>18</x:v>
      </x:c>
      <x:c r="B489">
        <x:v>0.59872585535049405</x:v>
      </x:c>
      <x:c r="C489" t="s">
        <x:v>10</x:v>
      </x:c>
      <x:c r="D489" t="s">
        <x:v>21</x:v>
      </x:c>
      <x:c r="E489" t="s">
        <x:v>130</x:v>
      </x:c>
      <x:c r="F489" t="s">
        <x:v>13</x:v>
      </x:c>
      <x:c r="G489" t="s">
        <x:v>27</x:v>
      </x:c>
      <x:c r="I489" t="s">
        <x:v>92</x:v>
      </x:c>
    </x:row>
    <x:row r="490">
      <x:c r="A490" t="s">
        <x:v>19</x:v>
      </x:c>
      <x:c r="B490">
        <x:v>0.77377377530547897</x:v>
      </x:c>
      <x:c r="C490" t="s">
        <x:v>10</x:v>
      </x:c>
      <x:c r="D490" t="s">
        <x:v>21</x:v>
      </x:c>
      <x:c r="E490" t="s">
        <x:v>130</x:v>
      </x:c>
      <x:c r="F490" t="s">
        <x:v>13</x:v>
      </x:c>
      <x:c r="G490" t="s">
        <x:v>27</x:v>
      </x:c>
      <x:c r="I490" t="s">
        <x:v>92</x:v>
      </x:c>
    </x:row>
    <x:row r="491">
      <x:c r="A491" t="s">
        <x:v>20</x:v>
      </x:c>
      <x:c r="B491">
        <x:v>8649857564672</x:v>
      </x:c>
      <x:c r="C491" t="s">
        <x:v>10</x:v>
      </x:c>
      <x:c r="D491" t="s">
        <x:v>21</x:v>
      </x:c>
      <x:c r="E491" t="s">
        <x:v>130</x:v>
      </x:c>
      <x:c r="F491" t="s">
        <x:v>13</x:v>
      </x:c>
      <x:c r="G491" t="s">
        <x:v>27</x:v>
      </x:c>
      <x:c r="I491" t="s">
        <x:v>92</x:v>
      </x:c>
    </x:row>
    <x:row r="492">
      <x:c r="A492" t="s">
        <x:v>9</x:v>
      </x:c>
      <x:c r="B492">
        <x:v>0.92125559941687396</x:v>
      </x:c>
      <x:c r="C492" t="s">
        <x:v>23</x:v>
      </x:c>
      <x:c r="D492" t="s">
        <x:v>21</x:v>
      </x:c>
      <x:c r="E492" t="s">
        <x:v>131</x:v>
      </x:c>
      <x:c r="F492" t="s">
        <x:v>13</x:v>
      </x:c>
      <x:c r="G492" t="s">
        <x:v>27</x:v>
      </x:c>
      <x:c r="I492" t="s">
        <x:v>92</x:v>
      </x:c>
    </x:row>
    <x:row r="493">
      <x:c r="A493" t="s">
        <x:v>17</x:v>
      </x:c>
      <x:c r="B493">
        <x:v>0.24843356013298001</x:v>
      </x:c>
      <x:c r="C493" t="s">
        <x:v>23</x:v>
      </x:c>
      <x:c r="D493" t="s">
        <x:v>21</x:v>
      </x:c>
      <x:c r="E493" t="s">
        <x:v>131</x:v>
      </x:c>
      <x:c r="F493" t="s">
        <x:v>13</x:v>
      </x:c>
      <x:c r="G493" t="s">
        <x:v>27</x:v>
      </x:c>
      <x:c r="I493" t="s">
        <x:v>92</x:v>
      </x:c>
    </x:row>
    <x:row r="494">
      <x:c r="A494" t="s">
        <x:v>18</x:v>
      </x:c>
      <x:c r="B494">
        <x:v>0.16190326213836601</x:v>
      </x:c>
      <x:c r="C494" t="s">
        <x:v>23</x:v>
      </x:c>
      <x:c r="D494" t="s">
        <x:v>21</x:v>
      </x:c>
      <x:c r="E494" t="s">
        <x:v>131</x:v>
      </x:c>
      <x:c r="F494" t="s">
        <x:v>13</x:v>
      </x:c>
      <x:c r="G494" t="s">
        <x:v>27</x:v>
      </x:c>
      <x:c r="I494" t="s">
        <x:v>92</x:v>
      </x:c>
    </x:row>
    <x:row r="495">
      <x:c r="A495" t="s">
        <x:v>19</x:v>
      </x:c>
      <x:c r="B495">
        <x:v>0.40237204442948898</x:v>
      </x:c>
      <x:c r="C495" t="s">
        <x:v>23</x:v>
      </x:c>
      <x:c r="D495" t="s">
        <x:v>21</x:v>
      </x:c>
      <x:c r="E495" t="s">
        <x:v>131</x:v>
      </x:c>
      <x:c r="F495" t="s">
        <x:v>13</x:v>
      </x:c>
      <x:c r="G495" t="s">
        <x:v>27</x:v>
      </x:c>
      <x:c r="I495" t="s">
        <x:v>92</x:v>
      </x:c>
    </x:row>
    <x:row r="496">
      <x:c r="A496" t="s">
        <x:v>20</x:v>
      </x:c>
      <x:c r="B496">
        <x:v>205880683397120</x:v>
      </x:c>
      <x:c r="C496" t="s">
        <x:v>23</x:v>
      </x:c>
      <x:c r="D496" t="s">
        <x:v>21</x:v>
      </x:c>
      <x:c r="E496" t="s">
        <x:v>131</x:v>
      </x:c>
      <x:c r="F496" t="s">
        <x:v>13</x:v>
      </x:c>
      <x:c r="G496" t="s">
        <x:v>27</x:v>
      </x:c>
      <x:c r="I496" t="s">
        <x:v>92</x:v>
      </x:c>
    </x:row>
    <x:row r="497">
      <x:c r="A497" t="s">
        <x:v>9</x:v>
      </x:c>
      <x:c r="B497">
        <x:v>0.92125559941687396</x:v>
      </x:c>
      <x:c r="C497" t="s">
        <x:v>23</x:v>
      </x:c>
      <x:c r="D497" t="s">
        <x:v>11</x:v>
      </x:c>
      <x:c r="E497" t="s">
        <x:v>132</x:v>
      </x:c>
      <x:c r="F497" t="s">
        <x:v>13</x:v>
      </x:c>
      <x:c r="G497" t="s">
        <x:v>27</x:v>
      </x:c>
      <x:c r="I497" t="s">
        <x:v>92</x:v>
      </x:c>
    </x:row>
    <x:row r="498">
      <x:c r="A498" t="s">
        <x:v>17</x:v>
      </x:c>
      <x:c r="B498">
        <x:v>0.24843356013298001</x:v>
      </x:c>
      <x:c r="C498" t="s">
        <x:v>23</x:v>
      </x:c>
      <x:c r="D498" t="s">
        <x:v>11</x:v>
      </x:c>
      <x:c r="E498" t="s">
        <x:v>132</x:v>
      </x:c>
      <x:c r="F498" t="s">
        <x:v>13</x:v>
      </x:c>
      <x:c r="G498" t="s">
        <x:v>27</x:v>
      </x:c>
      <x:c r="I498" t="s">
        <x:v>92</x:v>
      </x:c>
    </x:row>
    <x:row r="499">
      <x:c r="A499" t="s">
        <x:v>18</x:v>
      </x:c>
      <x:c r="B499">
        <x:v>0.16190326213836601</x:v>
      </x:c>
      <x:c r="C499" t="s">
        <x:v>23</x:v>
      </x:c>
      <x:c r="D499" t="s">
        <x:v>11</x:v>
      </x:c>
      <x:c r="E499" t="s">
        <x:v>132</x:v>
      </x:c>
      <x:c r="F499" t="s">
        <x:v>13</x:v>
      </x:c>
      <x:c r="G499" t="s">
        <x:v>27</x:v>
      </x:c>
      <x:c r="I499" t="s">
        <x:v>92</x:v>
      </x:c>
    </x:row>
    <x:row r="500">
      <x:c r="A500" t="s">
        <x:v>19</x:v>
      </x:c>
      <x:c r="B500">
        <x:v>0.40237204442948898</x:v>
      </x:c>
      <x:c r="C500" t="s">
        <x:v>23</x:v>
      </x:c>
      <x:c r="D500" t="s">
        <x:v>11</x:v>
      </x:c>
      <x:c r="E500" t="s">
        <x:v>132</x:v>
      </x:c>
      <x:c r="F500" t="s">
        <x:v>13</x:v>
      </x:c>
      <x:c r="G500" t="s">
        <x:v>27</x:v>
      </x:c>
      <x:c r="I500" t="s">
        <x:v>92</x:v>
      </x:c>
    </x:row>
    <x:row r="501">
      <x:c r="A501" t="s">
        <x:v>20</x:v>
      </x:c>
      <x:c r="B501">
        <x:v>205880683397120</x:v>
      </x:c>
      <x:c r="C501" t="s">
        <x:v>23</x:v>
      </x:c>
      <x:c r="D501" t="s">
        <x:v>11</x:v>
      </x:c>
      <x:c r="E501" t="s">
        <x:v>132</x:v>
      </x:c>
      <x:c r="F501" t="s">
        <x:v>13</x:v>
      </x:c>
      <x:c r="G501" t="s">
        <x:v>27</x:v>
      </x:c>
      <x:c r="I501" t="s">
        <x:v>92</x:v>
      </x:c>
    </x:row>
    <x:row r="502">
      <x:c r="A502" t="s">
        <x:v>9</x:v>
      </x:c>
      <x:c r="B502">
        <x:v>0.87422815339890603</x:v>
      </x:c>
      <x:c r="C502" t="s">
        <x:v>10</x:v>
      </x:c>
      <x:c r="D502" t="s">
        <x:v>11</x:v>
      </x:c>
      <x:c r="E502" t="s">
        <x:v>133</x:v>
      </x:c>
      <x:c r="F502" t="s">
        <x:v>33</x:v>
      </x:c>
      <x:c r="G502" t="s">
        <x:v>14</x:v>
      </x:c>
      <x:c r="I502" t="s">
        <x:v>97</x:v>
      </x:c>
    </x:row>
    <x:row r="503">
      <x:c r="A503" t="s">
        <x:v>17</x:v>
      </x:c>
      <x:c r="B503">
        <x:v>0.43954944610595698</x:v>
      </x:c>
      <x:c r="C503" t="s">
        <x:v>10</x:v>
      </x:c>
      <x:c r="D503" t="s">
        <x:v>11</x:v>
      </x:c>
      <x:c r="E503" t="s">
        <x:v>133</x:v>
      </x:c>
      <x:c r="F503" t="s">
        <x:v>33</x:v>
      </x:c>
      <x:c r="G503" t="s">
        <x:v>14</x:v>
      </x:c>
      <x:c r="I503" t="s">
        <x:v>97</x:v>
      </x:c>
    </x:row>
    <x:row r="504">
      <x:c r="A504" t="s">
        <x:v>18</x:v>
      </x:c>
      <x:c r="B504">
        <x:v>0.33230513334274198</x:v>
      </x:c>
      <x:c r="C504" t="s">
        <x:v>10</x:v>
      </x:c>
      <x:c r="D504" t="s">
        <x:v>11</x:v>
      </x:c>
      <x:c r="E504" t="s">
        <x:v>133</x:v>
      </x:c>
      <x:c r="F504" t="s">
        <x:v>33</x:v>
      </x:c>
      <x:c r="G504" t="s">
        <x:v>14</x:v>
      </x:c>
      <x:c r="I504" t="s">
        <x:v>97</x:v>
      </x:c>
    </x:row>
    <x:row r="505">
      <x:c r="A505" t="s">
        <x:v>19</x:v>
      </x:c>
      <x:c r="B505">
        <x:v>0.57645913414807004</x:v>
      </x:c>
      <x:c r="C505" t="s">
        <x:v>10</x:v>
      </x:c>
      <x:c r="D505" t="s">
        <x:v>11</x:v>
      </x:c>
      <x:c r="E505" t="s">
        <x:v>133</x:v>
      </x:c>
      <x:c r="F505" t="s">
        <x:v>33</x:v>
      </x:c>
      <x:c r="G505" t="s">
        <x:v>14</x:v>
      </x:c>
      <x:c r="I505" t="s">
        <x:v>97</x:v>
      </x:c>
    </x:row>
    <x:row r="506">
      <x:c r="A506" t="s">
        <x:v>20</x:v>
      </x:c>
      <x:c r="B506">
        <x:v>6818118500352</x:v>
      </x:c>
      <x:c r="C506" t="s">
        <x:v>10</x:v>
      </x:c>
      <x:c r="D506" t="s">
        <x:v>11</x:v>
      </x:c>
      <x:c r="E506" t="s">
        <x:v>133</x:v>
      </x:c>
      <x:c r="F506" t="s">
        <x:v>33</x:v>
      </x:c>
      <x:c r="G506" t="s">
        <x:v>14</x:v>
      </x:c>
      <x:c r="I506" t="s">
        <x:v>97</x:v>
      </x:c>
    </x:row>
    <x:row r="507">
      <x:c r="A507" t="s">
        <x:v>9</x:v>
      </x:c>
      <x:c r="B507">
        <x:v>0.87422815339890603</x:v>
      </x:c>
      <x:c r="C507" t="s">
        <x:v>10</x:v>
      </x:c>
      <x:c r="D507" t="s">
        <x:v>21</x:v>
      </x:c>
      <x:c r="E507" t="s">
        <x:v>134</x:v>
      </x:c>
      <x:c r="F507" t="s">
        <x:v>33</x:v>
      </x:c>
      <x:c r="G507" t="s">
        <x:v>14</x:v>
      </x:c>
      <x:c r="I507" t="s">
        <x:v>97</x:v>
      </x:c>
    </x:row>
    <x:row r="508">
      <x:c r="A508" t="s">
        <x:v>17</x:v>
      </x:c>
      <x:c r="B508">
        <x:v>0.43954944610595698</x:v>
      </x:c>
      <x:c r="C508" t="s">
        <x:v>10</x:v>
      </x:c>
      <x:c r="D508" t="s">
        <x:v>21</x:v>
      </x:c>
      <x:c r="E508" t="s">
        <x:v>134</x:v>
      </x:c>
      <x:c r="F508" t="s">
        <x:v>33</x:v>
      </x:c>
      <x:c r="G508" t="s">
        <x:v>14</x:v>
      </x:c>
      <x:c r="I508" t="s">
        <x:v>97</x:v>
      </x:c>
    </x:row>
    <x:row r="509">
      <x:c r="A509" t="s">
        <x:v>18</x:v>
      </x:c>
      <x:c r="B509">
        <x:v>0.33230513334274198</x:v>
      </x:c>
      <x:c r="C509" t="s">
        <x:v>10</x:v>
      </x:c>
      <x:c r="D509" t="s">
        <x:v>21</x:v>
      </x:c>
      <x:c r="E509" t="s">
        <x:v>134</x:v>
      </x:c>
      <x:c r="F509" t="s">
        <x:v>33</x:v>
      </x:c>
      <x:c r="G509" t="s">
        <x:v>14</x:v>
      </x:c>
      <x:c r="I509" t="s">
        <x:v>97</x:v>
      </x:c>
    </x:row>
    <x:row r="510">
      <x:c r="A510" t="s">
        <x:v>19</x:v>
      </x:c>
      <x:c r="B510">
        <x:v>0.57645913414807004</x:v>
      </x:c>
      <x:c r="C510" t="s">
        <x:v>10</x:v>
      </x:c>
      <x:c r="D510" t="s">
        <x:v>21</x:v>
      </x:c>
      <x:c r="E510" t="s">
        <x:v>134</x:v>
      </x:c>
      <x:c r="F510" t="s">
        <x:v>33</x:v>
      </x:c>
      <x:c r="G510" t="s">
        <x:v>14</x:v>
      </x:c>
      <x:c r="I510" t="s">
        <x:v>97</x:v>
      </x:c>
    </x:row>
    <x:row r="511">
      <x:c r="A511" t="s">
        <x:v>20</x:v>
      </x:c>
      <x:c r="B511">
        <x:v>6818118500352</x:v>
      </x:c>
      <x:c r="C511" t="s">
        <x:v>10</x:v>
      </x:c>
      <x:c r="D511" t="s">
        <x:v>21</x:v>
      </x:c>
      <x:c r="E511" t="s">
        <x:v>134</x:v>
      </x:c>
      <x:c r="F511" t="s">
        <x:v>33</x:v>
      </x:c>
      <x:c r="G511" t="s">
        <x:v>14</x:v>
      </x:c>
      <x:c r="I511" t="s">
        <x:v>97</x:v>
      </x:c>
    </x:row>
    <x:row r="512">
      <x:c r="A512" t="s">
        <x:v>9</x:v>
      </x:c>
      <x:c r="B512">
        <x:v>0.89075107669973896</x:v>
      </x:c>
      <x:c r="C512" t="s">
        <x:v>23</x:v>
      </x:c>
      <x:c r="D512" t="s">
        <x:v>21</x:v>
      </x:c>
      <x:c r="E512" t="s">
        <x:v>135</x:v>
      </x:c>
      <x:c r="F512" t="s">
        <x:v>33</x:v>
      </x:c>
      <x:c r="G512" t="s">
        <x:v>14</x:v>
      </x:c>
      <x:c r="I512" t="s">
        <x:v>97</x:v>
      </x:c>
    </x:row>
    <x:row r="513">
      <x:c r="A513" t="s">
        <x:v>17</x:v>
      </x:c>
      <x:c r="B513">
        <x:v>0.381383836269378</x:v>
      </x:c>
      <x:c r="C513" t="s">
        <x:v>23</x:v>
      </x:c>
      <x:c r="D513" t="s">
        <x:v>21</x:v>
      </x:c>
      <x:c r="E513" t="s">
        <x:v>135</x:v>
      </x:c>
      <x:c r="F513" t="s">
        <x:v>33</x:v>
      </x:c>
      <x:c r="G513" t="s">
        <x:v>14</x:v>
      </x:c>
      <x:c r="I513" t="s">
        <x:v>97</x:v>
      </x:c>
    </x:row>
    <x:row r="514">
      <x:c r="A514" t="s">
        <x:v>18</x:v>
      </x:c>
      <x:c r="B514">
        <x:v>0.33067187666893</x:v>
      </x:c>
      <x:c r="C514" t="s">
        <x:v>23</x:v>
      </x:c>
      <x:c r="D514" t="s">
        <x:v>21</x:v>
      </x:c>
      <x:c r="E514" t="s">
        <x:v>135</x:v>
      </x:c>
      <x:c r="F514" t="s">
        <x:v>33</x:v>
      </x:c>
      <x:c r="G514" t="s">
        <x:v>14</x:v>
      </x:c>
      <x:c r="I514" t="s">
        <x:v>97</x:v>
      </x:c>
    </x:row>
    <x:row r="515">
      <x:c r="A515" t="s">
        <x:v>19</x:v>
      </x:c>
      <x:c r="B515">
        <x:v>0.57504076087607003</x:v>
      </x:c>
      <x:c r="C515" t="s">
        <x:v>23</x:v>
      </x:c>
      <x:c r="D515" t="s">
        <x:v>21</x:v>
      </x:c>
      <x:c r="E515" t="s">
        <x:v>135</x:v>
      </x:c>
      <x:c r="F515" t="s">
        <x:v>33</x:v>
      </x:c>
      <x:c r="G515" t="s">
        <x:v>14</x:v>
      </x:c>
      <x:c r="I515" t="s">
        <x:v>97</x:v>
      </x:c>
    </x:row>
    <x:row r="516">
      <x:c r="A516" t="s">
        <x:v>20</x:v>
      </x:c>
      <x:c r="B516">
        <x:v>272552031158272</x:v>
      </x:c>
      <x:c r="C516" t="s">
        <x:v>23</x:v>
      </x:c>
      <x:c r="D516" t="s">
        <x:v>21</x:v>
      </x:c>
      <x:c r="E516" t="s">
        <x:v>135</x:v>
      </x:c>
      <x:c r="F516" t="s">
        <x:v>33</x:v>
      </x:c>
      <x:c r="G516" t="s">
        <x:v>14</x:v>
      </x:c>
      <x:c r="I516" t="s">
        <x:v>97</x:v>
      </x:c>
    </x:row>
    <x:row r="517">
      <x:c r="A517" t="s">
        <x:v>9</x:v>
      </x:c>
      <x:c r="B517">
        <x:v>0.89075107669973896</x:v>
      </x:c>
      <x:c r="C517" t="s">
        <x:v>23</x:v>
      </x:c>
      <x:c r="D517" t="s">
        <x:v>11</x:v>
      </x:c>
      <x:c r="E517" t="s">
        <x:v>136</x:v>
      </x:c>
      <x:c r="F517" t="s">
        <x:v>33</x:v>
      </x:c>
      <x:c r="G517" t="s">
        <x:v>14</x:v>
      </x:c>
      <x:c r="I517" t="s">
        <x:v>97</x:v>
      </x:c>
    </x:row>
    <x:row r="518">
      <x:c r="A518" t="s">
        <x:v>17</x:v>
      </x:c>
      <x:c r="B518">
        <x:v>0.381383836269378</x:v>
      </x:c>
      <x:c r="C518" t="s">
        <x:v>23</x:v>
      </x:c>
      <x:c r="D518" t="s">
        <x:v>11</x:v>
      </x:c>
      <x:c r="E518" t="s">
        <x:v>136</x:v>
      </x:c>
      <x:c r="F518" t="s">
        <x:v>33</x:v>
      </x:c>
      <x:c r="G518" t="s">
        <x:v>14</x:v>
      </x:c>
      <x:c r="I518" t="s">
        <x:v>97</x:v>
      </x:c>
    </x:row>
    <x:row r="519">
      <x:c r="A519" t="s">
        <x:v>18</x:v>
      </x:c>
      <x:c r="B519">
        <x:v>0.33067187666893</x:v>
      </x:c>
      <x:c r="C519" t="s">
        <x:v>23</x:v>
      </x:c>
      <x:c r="D519" t="s">
        <x:v>11</x:v>
      </x:c>
      <x:c r="E519" t="s">
        <x:v>136</x:v>
      </x:c>
      <x:c r="F519" t="s">
        <x:v>33</x:v>
      </x:c>
      <x:c r="G519" t="s">
        <x:v>14</x:v>
      </x:c>
      <x:c r="I519" t="s">
        <x:v>97</x:v>
      </x:c>
    </x:row>
    <x:row r="520">
      <x:c r="A520" t="s">
        <x:v>19</x:v>
      </x:c>
      <x:c r="B520">
        <x:v>0.57504076087607003</x:v>
      </x:c>
      <x:c r="C520" t="s">
        <x:v>23</x:v>
      </x:c>
      <x:c r="D520" t="s">
        <x:v>11</x:v>
      </x:c>
      <x:c r="E520" t="s">
        <x:v>136</x:v>
      </x:c>
      <x:c r="F520" t="s">
        <x:v>33</x:v>
      </x:c>
      <x:c r="G520" t="s">
        <x:v>14</x:v>
      </x:c>
      <x:c r="I520" t="s">
        <x:v>97</x:v>
      </x:c>
    </x:row>
    <x:row r="521">
      <x:c r="A521" t="s">
        <x:v>20</x:v>
      </x:c>
      <x:c r="B521">
        <x:v>272552031158272</x:v>
      </x:c>
      <x:c r="C521" t="s">
        <x:v>23</x:v>
      </x:c>
      <x:c r="D521" t="s">
        <x:v>11</x:v>
      </x:c>
      <x:c r="E521" t="s">
        <x:v>136</x:v>
      </x:c>
      <x:c r="F521" t="s">
        <x:v>33</x:v>
      </x:c>
      <x:c r="G521" t="s">
        <x:v>14</x:v>
      </x:c>
      <x:c r="I521" t="s">
        <x:v>97</x:v>
      </x:c>
    </x:row>
    <x:row r="522">
      <x:c r="A522" t="s">
        <x:v>9</x:v>
      </x:c>
      <x:c r="B522">
        <x:v>0.86795156264676199</x:v>
      </x:c>
      <x:c r="C522" t="s">
        <x:v>10</x:v>
      </x:c>
      <x:c r="D522" t="s">
        <x:v>11</x:v>
      </x:c>
      <x:c r="E522" t="s">
        <x:v>137</x:v>
      </x:c>
      <x:c r="F522" t="s">
        <x:v>33</x:v>
      </x:c>
      <x:c r="G522" t="s">
        <x:v>14</x:v>
      </x:c>
      <x:c r="H522" t="s">
        <x:v>15</x:v>
      </x:c>
      <x:c r="I522" t="s">
        <x:v>16</x:v>
      </x:c>
    </x:row>
    <x:row r="523">
      <x:c r="A523" t="s">
        <x:v>17</x:v>
      </x:c>
      <x:c r="B523">
        <x:v>0.29954099655151301</x:v>
      </x:c>
      <x:c r="C523" t="s">
        <x:v>10</x:v>
      </x:c>
      <x:c r="D523" t="s">
        <x:v>11</x:v>
      </x:c>
      <x:c r="E523" t="s">
        <x:v>137</x:v>
      </x:c>
      <x:c r="F523" t="s">
        <x:v>33</x:v>
      </x:c>
      <x:c r="G523" t="s">
        <x:v>14</x:v>
      </x:c>
      <x:c r="H523" t="s">
        <x:v>15</x:v>
      </x:c>
      <x:c r="I523" t="s">
        <x:v>16</x:v>
      </x:c>
    </x:row>
    <x:row r="524">
      <x:c r="A524" t="s">
        <x:v>18</x:v>
      </x:c>
      <x:c r="B524">
        <x:v>0.153496608138084</x:v>
      </x:c>
      <x:c r="C524" t="s">
        <x:v>10</x:v>
      </x:c>
      <x:c r="D524" t="s">
        <x:v>11</x:v>
      </x:c>
      <x:c r="E524" t="s">
        <x:v>137</x:v>
      </x:c>
      <x:c r="F524" t="s">
        <x:v>33</x:v>
      </x:c>
      <x:c r="G524" t="s">
        <x:v>14</x:v>
      </x:c>
      <x:c r="H524" t="s">
        <x:v>15</x:v>
      </x:c>
      <x:c r="I524" t="s">
        <x:v>16</x:v>
      </x:c>
    </x:row>
    <x:row r="525">
      <x:c r="A525" t="s">
        <x:v>19</x:v>
      </x:c>
      <x:c r="B525">
        <x:v>0.39178643179426698</x:v>
      </x:c>
      <x:c r="C525" t="s">
        <x:v>10</x:v>
      </x:c>
      <x:c r="D525" t="s">
        <x:v>11</x:v>
      </x:c>
      <x:c r="E525" t="s">
        <x:v>137</x:v>
      </x:c>
      <x:c r="F525" t="s">
        <x:v>33</x:v>
      </x:c>
      <x:c r="G525" t="s">
        <x:v>14</x:v>
      </x:c>
      <x:c r="H525" t="s">
        <x:v>15</x:v>
      </x:c>
      <x:c r="I525" t="s">
        <x:v>16</x:v>
      </x:c>
    </x:row>
    <x:row r="526">
      <x:c r="A526" t="s">
        <x:v>20</x:v>
      </x:c>
      <x:c r="B526">
        <x:v>97747868844032</x:v>
      </x:c>
      <x:c r="C526" t="s">
        <x:v>10</x:v>
      </x:c>
      <x:c r="D526" t="s">
        <x:v>11</x:v>
      </x:c>
      <x:c r="E526" t="s">
        <x:v>137</x:v>
      </x:c>
      <x:c r="F526" t="s">
        <x:v>33</x:v>
      </x:c>
      <x:c r="G526" t="s">
        <x:v>14</x:v>
      </x:c>
      <x:c r="H526" t="s">
        <x:v>15</x:v>
      </x:c>
      <x:c r="I526" t="s">
        <x:v>16</x:v>
      </x:c>
    </x:row>
    <x:row r="527">
      <x:c r="A527" t="s">
        <x:v>9</x:v>
      </x:c>
      <x:c r="B527">
        <x:v>0.86795156264676199</x:v>
      </x:c>
      <x:c r="C527" t="s">
        <x:v>10</x:v>
      </x:c>
      <x:c r="D527" t="s">
        <x:v>21</x:v>
      </x:c>
      <x:c r="E527" t="s">
        <x:v>138</x:v>
      </x:c>
      <x:c r="F527" t="s">
        <x:v>33</x:v>
      </x:c>
      <x:c r="G527" t="s">
        <x:v>14</x:v>
      </x:c>
      <x:c r="H527" t="s">
        <x:v>15</x:v>
      </x:c>
      <x:c r="I527" t="s">
        <x:v>16</x:v>
      </x:c>
    </x:row>
    <x:row r="528">
      <x:c r="A528" t="s">
        <x:v>17</x:v>
      </x:c>
      <x:c r="B528">
        <x:v>0.29954099655151301</x:v>
      </x:c>
      <x:c r="C528" t="s">
        <x:v>10</x:v>
      </x:c>
      <x:c r="D528" t="s">
        <x:v>21</x:v>
      </x:c>
      <x:c r="E528" t="s">
        <x:v>138</x:v>
      </x:c>
      <x:c r="F528" t="s">
        <x:v>33</x:v>
      </x:c>
      <x:c r="G528" t="s">
        <x:v>14</x:v>
      </x:c>
      <x:c r="H528" t="s">
        <x:v>15</x:v>
      </x:c>
      <x:c r="I528" t="s">
        <x:v>16</x:v>
      </x:c>
    </x:row>
    <x:row r="529">
      <x:c r="A529" t="s">
        <x:v>18</x:v>
      </x:c>
      <x:c r="B529">
        <x:v>0.153496608138084</x:v>
      </x:c>
      <x:c r="C529" t="s">
        <x:v>10</x:v>
      </x:c>
      <x:c r="D529" t="s">
        <x:v>21</x:v>
      </x:c>
      <x:c r="E529" t="s">
        <x:v>138</x:v>
      </x:c>
      <x:c r="F529" t="s">
        <x:v>33</x:v>
      </x:c>
      <x:c r="G529" t="s">
        <x:v>14</x:v>
      </x:c>
      <x:c r="H529" t="s">
        <x:v>15</x:v>
      </x:c>
      <x:c r="I529" t="s">
        <x:v>16</x:v>
      </x:c>
    </x:row>
    <x:row r="530">
      <x:c r="A530" t="s">
        <x:v>19</x:v>
      </x:c>
      <x:c r="B530">
        <x:v>0.39178643179426698</x:v>
      </x:c>
      <x:c r="C530" t="s">
        <x:v>10</x:v>
      </x:c>
      <x:c r="D530" t="s">
        <x:v>21</x:v>
      </x:c>
      <x:c r="E530" t="s">
        <x:v>138</x:v>
      </x:c>
      <x:c r="F530" t="s">
        <x:v>33</x:v>
      </x:c>
      <x:c r="G530" t="s">
        <x:v>14</x:v>
      </x:c>
      <x:c r="H530" t="s">
        <x:v>15</x:v>
      </x:c>
      <x:c r="I530" t="s">
        <x:v>16</x:v>
      </x:c>
    </x:row>
    <x:row r="531">
      <x:c r="A531" t="s">
        <x:v>20</x:v>
      </x:c>
      <x:c r="B531">
        <x:v>97747868844032</x:v>
      </x:c>
      <x:c r="C531" t="s">
        <x:v>10</x:v>
      </x:c>
      <x:c r="D531" t="s">
        <x:v>21</x:v>
      </x:c>
      <x:c r="E531" t="s">
        <x:v>138</x:v>
      </x:c>
      <x:c r="F531" t="s">
        <x:v>33</x:v>
      </x:c>
      <x:c r="G531" t="s">
        <x:v>14</x:v>
      </x:c>
      <x:c r="H531" t="s">
        <x:v>15</x:v>
      </x:c>
      <x:c r="I531" t="s">
        <x:v>16</x:v>
      </x:c>
    </x:row>
    <x:row r="532">
      <x:c r="A532" t="s">
        <x:v>9</x:v>
      </x:c>
      <x:c r="B532">
        <x:v>0.85626892268898902</x:v>
      </x:c>
      <x:c r="C532" t="s">
        <x:v>23</x:v>
      </x:c>
      <x:c r="D532" t="s">
        <x:v>21</x:v>
      </x:c>
      <x:c r="E532" t="s">
        <x:v>139</x:v>
      </x:c>
      <x:c r="F532" t="s">
        <x:v>33</x:v>
      </x:c>
      <x:c r="G532" t="s">
        <x:v>14</x:v>
      </x:c>
      <x:c r="H532" t="s">
        <x:v>15</x:v>
      </x:c>
      <x:c r="I532" t="s">
        <x:v>16</x:v>
      </x:c>
    </x:row>
    <x:row r="533">
      <x:c r="A533" t="s">
        <x:v>17</x:v>
      </x:c>
      <x:c r="B533">
        <x:v>0.49719870090484602</x:v>
      </x:c>
      <x:c r="C533" t="s">
        <x:v>23</x:v>
      </x:c>
      <x:c r="D533" t="s">
        <x:v>21</x:v>
      </x:c>
      <x:c r="E533" t="s">
        <x:v>139</x:v>
      </x:c>
      <x:c r="F533" t="s">
        <x:v>33</x:v>
      </x:c>
      <x:c r="G533" t="s">
        <x:v>14</x:v>
      </x:c>
      <x:c r="H533" t="s">
        <x:v>15</x:v>
      </x:c>
      <x:c r="I533" t="s">
        <x:v>16</x:v>
      </x:c>
    </x:row>
    <x:row r="534">
      <x:c r="A534" t="s">
        <x:v>18</x:v>
      </x:c>
      <x:c r="B534">
        <x:v>0.63361138105392401</x:v>
      </x:c>
      <x:c r="C534" t="s">
        <x:v>23</x:v>
      </x:c>
      <x:c r="D534" t="s">
        <x:v>21</x:v>
      </x:c>
      <x:c r="E534" t="s">
        <x:v>139</x:v>
      </x:c>
      <x:c r="F534" t="s">
        <x:v>33</x:v>
      </x:c>
      <x:c r="G534" t="s">
        <x:v>14</x:v>
      </x:c>
      <x:c r="H534" t="s">
        <x:v>15</x:v>
      </x:c>
      <x:c r="I534" t="s">
        <x:v>16</x:v>
      </x:c>
    </x:row>
    <x:row r="535">
      <x:c r="A535" t="s">
        <x:v>19</x:v>
      </x:c>
      <x:c r="B535">
        <x:v>0.79599709864667501</x:v>
      </x:c>
      <x:c r="C535" t="s">
        <x:v>23</x:v>
      </x:c>
      <x:c r="D535" t="s">
        <x:v>21</x:v>
      </x:c>
      <x:c r="E535" t="s">
        <x:v>139</x:v>
      </x:c>
      <x:c r="F535" t="s">
        <x:v>33</x:v>
      </x:c>
      <x:c r="G535" t="s">
        <x:v>14</x:v>
      </x:c>
      <x:c r="H535" t="s">
        <x:v>15</x:v>
      </x:c>
      <x:c r="I535" t="s">
        <x:v>16</x:v>
      </x:c>
    </x:row>
    <x:row r="536">
      <x:c r="A536" t="s">
        <x:v>20</x:v>
      </x:c>
      <x:c r="B536">
        <x:v>87287090118656</x:v>
      </x:c>
      <x:c r="C536" t="s">
        <x:v>23</x:v>
      </x:c>
      <x:c r="D536" t="s">
        <x:v>21</x:v>
      </x:c>
      <x:c r="E536" t="s">
        <x:v>139</x:v>
      </x:c>
      <x:c r="F536" t="s">
        <x:v>33</x:v>
      </x:c>
      <x:c r="G536" t="s">
        <x:v>14</x:v>
      </x:c>
      <x:c r="H536" t="s">
        <x:v>15</x:v>
      </x:c>
      <x:c r="I536" t="s">
        <x:v>16</x:v>
      </x:c>
    </x:row>
    <x:row r="537">
      <x:c r="A537" t="s">
        <x:v>9</x:v>
      </x:c>
      <x:c r="B537">
        <x:v>0.85626892268898902</x:v>
      </x:c>
      <x:c r="C537" t="s">
        <x:v>23</x:v>
      </x:c>
      <x:c r="D537" t="s">
        <x:v>11</x:v>
      </x:c>
      <x:c r="E537" t="s">
        <x:v>140</x:v>
      </x:c>
      <x:c r="F537" t="s">
        <x:v>33</x:v>
      </x:c>
      <x:c r="G537" t="s">
        <x:v>14</x:v>
      </x:c>
      <x:c r="H537" t="s">
        <x:v>15</x:v>
      </x:c>
      <x:c r="I537" t="s">
        <x:v>16</x:v>
      </x:c>
    </x:row>
    <x:row r="538">
      <x:c r="A538" t="s">
        <x:v>17</x:v>
      </x:c>
      <x:c r="B538">
        <x:v>0.49719870090484602</x:v>
      </x:c>
      <x:c r="C538" t="s">
        <x:v>23</x:v>
      </x:c>
      <x:c r="D538" t="s">
        <x:v>11</x:v>
      </x:c>
      <x:c r="E538" t="s">
        <x:v>140</x:v>
      </x:c>
      <x:c r="F538" t="s">
        <x:v>33</x:v>
      </x:c>
      <x:c r="G538" t="s">
        <x:v>14</x:v>
      </x:c>
      <x:c r="H538" t="s">
        <x:v>15</x:v>
      </x:c>
      <x:c r="I538" t="s">
        <x:v>16</x:v>
      </x:c>
    </x:row>
    <x:row r="539">
      <x:c r="A539" t="s">
        <x:v>18</x:v>
      </x:c>
      <x:c r="B539">
        <x:v>0.63361138105392401</x:v>
      </x:c>
      <x:c r="C539" t="s">
        <x:v>23</x:v>
      </x:c>
      <x:c r="D539" t="s">
        <x:v>11</x:v>
      </x:c>
      <x:c r="E539" t="s">
        <x:v>140</x:v>
      </x:c>
      <x:c r="F539" t="s">
        <x:v>33</x:v>
      </x:c>
      <x:c r="G539" t="s">
        <x:v>14</x:v>
      </x:c>
      <x:c r="H539" t="s">
        <x:v>15</x:v>
      </x:c>
      <x:c r="I539" t="s">
        <x:v>16</x:v>
      </x:c>
    </x:row>
    <x:row r="540">
      <x:c r="A540" t="s">
        <x:v>19</x:v>
      </x:c>
      <x:c r="B540">
        <x:v>0.79599709864667501</x:v>
      </x:c>
      <x:c r="C540" t="s">
        <x:v>23</x:v>
      </x:c>
      <x:c r="D540" t="s">
        <x:v>11</x:v>
      </x:c>
      <x:c r="E540" t="s">
        <x:v>140</x:v>
      </x:c>
      <x:c r="F540" t="s">
        <x:v>33</x:v>
      </x:c>
      <x:c r="G540" t="s">
        <x:v>14</x:v>
      </x:c>
      <x:c r="H540" t="s">
        <x:v>15</x:v>
      </x:c>
      <x:c r="I540" t="s">
        <x:v>16</x:v>
      </x:c>
    </x:row>
    <x:row r="541">
      <x:c r="A541" t="s">
        <x:v>20</x:v>
      </x:c>
      <x:c r="B541">
        <x:v>87287090118656</x:v>
      </x:c>
      <x:c r="C541" t="s">
        <x:v>23</x:v>
      </x:c>
      <x:c r="D541" t="s">
        <x:v>11</x:v>
      </x:c>
      <x:c r="E541" t="s">
        <x:v>140</x:v>
      </x:c>
      <x:c r="F541" t="s">
        <x:v>33</x:v>
      </x:c>
      <x:c r="G541" t="s">
        <x:v>14</x:v>
      </x:c>
      <x:c r="H541" t="s">
        <x:v>15</x:v>
      </x:c>
      <x:c r="I541" t="s">
        <x:v>16</x:v>
      </x:c>
    </x:row>
    <x:row r="542">
      <x:c r="A542" t="s">
        <x:v>9</x:v>
      </x:c>
      <x:c r="B542">
        <x:v>0.91531512360165601</x:v>
      </x:c>
      <x:c r="C542" t="s">
        <x:v>10</x:v>
      </x:c>
      <x:c r="D542" t="s">
        <x:v>11</x:v>
      </x:c>
      <x:c r="E542" t="s">
        <x:v>141</x:v>
      </x:c>
      <x:c r="F542" t="s">
        <x:v>13</x:v>
      </x:c>
      <x:c r="G542" t="s">
        <x:v>14</x:v>
      </x:c>
      <x:c r="I542" t="s">
        <x:v>92</x:v>
      </x:c>
    </x:row>
    <x:row r="543">
      <x:c r="A543" t="s">
        <x:v>17</x:v>
      </x:c>
      <x:c r="B543">
        <x:v>0.217879638075828</x:v>
      </x:c>
      <x:c r="C543" t="s">
        <x:v>10</x:v>
      </x:c>
      <x:c r="D543" t="s">
        <x:v>11</x:v>
      </x:c>
      <x:c r="E543" t="s">
        <x:v>141</x:v>
      </x:c>
      <x:c r="F543" t="s">
        <x:v>13</x:v>
      </x:c>
      <x:c r="G543" t="s">
        <x:v>14</x:v>
      </x:c>
      <x:c r="I543" t="s">
        <x:v>92</x:v>
      </x:c>
    </x:row>
    <x:row r="544">
      <x:c r="A544" t="s">
        <x:v>18</x:v>
      </x:c>
      <x:c r="B544">
        <x:v>9.0417161583900396E-2</x:v>
      </x:c>
      <x:c r="C544" t="s">
        <x:v>10</x:v>
      </x:c>
      <x:c r="D544" t="s">
        <x:v>11</x:v>
      </x:c>
      <x:c r="E544" t="s">
        <x:v>141</x:v>
      </x:c>
      <x:c r="F544" t="s">
        <x:v>13</x:v>
      </x:c>
      <x:c r="G544" t="s">
        <x:v>14</x:v>
      </x:c>
      <x:c r="I544" t="s">
        <x:v>92</x:v>
      </x:c>
    </x:row>
    <x:row r="545">
      <x:c r="A545" t="s">
        <x:v>19</x:v>
      </x:c>
      <x:c r="B545">
        <x:v>0.30069446550260998</x:v>
      </x:c>
      <x:c r="C545" t="s">
        <x:v>10</x:v>
      </x:c>
      <x:c r="D545" t="s">
        <x:v>11</x:v>
      </x:c>
      <x:c r="E545" t="s">
        <x:v>141</x:v>
      </x:c>
      <x:c r="F545" t="s">
        <x:v>13</x:v>
      </x:c>
      <x:c r="G545" t="s">
        <x:v>14</x:v>
      </x:c>
      <x:c r="I545" t="s">
        <x:v>92</x:v>
      </x:c>
    </x:row>
    <x:row r="546">
      <x:c r="A546" t="s">
        <x:v>20</x:v>
      </x:c>
      <x:c r="B546">
        <x:v>70231485579264</x:v>
      </x:c>
      <x:c r="C546" t="s">
        <x:v>10</x:v>
      </x:c>
      <x:c r="D546" t="s">
        <x:v>11</x:v>
      </x:c>
      <x:c r="E546" t="s">
        <x:v>141</x:v>
      </x:c>
      <x:c r="F546" t="s">
        <x:v>13</x:v>
      </x:c>
      <x:c r="G546" t="s">
        <x:v>14</x:v>
      </x:c>
      <x:c r="I546" t="s">
        <x:v>92</x:v>
      </x:c>
    </x:row>
    <x:row r="547">
      <x:c r="A547" t="s">
        <x:v>9</x:v>
      </x:c>
      <x:c r="B547">
        <x:v>0.91531512360165601</x:v>
      </x:c>
      <x:c r="C547" t="s">
        <x:v>10</x:v>
      </x:c>
      <x:c r="D547" t="s">
        <x:v>21</x:v>
      </x:c>
      <x:c r="E547" t="s">
        <x:v>142</x:v>
      </x:c>
      <x:c r="F547" t="s">
        <x:v>13</x:v>
      </x:c>
      <x:c r="G547" t="s">
        <x:v>14</x:v>
      </x:c>
      <x:c r="I547" t="s">
        <x:v>92</x:v>
      </x:c>
    </x:row>
    <x:row r="548">
      <x:c r="A548" t="s">
        <x:v>17</x:v>
      </x:c>
      <x:c r="B548">
        <x:v>0.217879638075828</x:v>
      </x:c>
      <x:c r="C548" t="s">
        <x:v>10</x:v>
      </x:c>
      <x:c r="D548" t="s">
        <x:v>21</x:v>
      </x:c>
      <x:c r="E548" t="s">
        <x:v>142</x:v>
      </x:c>
      <x:c r="F548" t="s">
        <x:v>13</x:v>
      </x:c>
      <x:c r="G548" t="s">
        <x:v>14</x:v>
      </x:c>
      <x:c r="I548" t="s">
        <x:v>92</x:v>
      </x:c>
    </x:row>
    <x:row r="549">
      <x:c r="A549" t="s">
        <x:v>18</x:v>
      </x:c>
      <x:c r="B549">
        <x:v>9.0417161583900396E-2</x:v>
      </x:c>
      <x:c r="C549" t="s">
        <x:v>10</x:v>
      </x:c>
      <x:c r="D549" t="s">
        <x:v>21</x:v>
      </x:c>
      <x:c r="E549" t="s">
        <x:v>142</x:v>
      </x:c>
      <x:c r="F549" t="s">
        <x:v>13</x:v>
      </x:c>
      <x:c r="G549" t="s">
        <x:v>14</x:v>
      </x:c>
      <x:c r="I549" t="s">
        <x:v>92</x:v>
      </x:c>
    </x:row>
    <x:row r="550">
      <x:c r="A550" t="s">
        <x:v>19</x:v>
      </x:c>
      <x:c r="B550">
        <x:v>0.30069446550260998</x:v>
      </x:c>
      <x:c r="C550" t="s">
        <x:v>10</x:v>
      </x:c>
      <x:c r="D550" t="s">
        <x:v>21</x:v>
      </x:c>
      <x:c r="E550" t="s">
        <x:v>142</x:v>
      </x:c>
      <x:c r="F550" t="s">
        <x:v>13</x:v>
      </x:c>
      <x:c r="G550" t="s">
        <x:v>14</x:v>
      </x:c>
      <x:c r="I550" t="s">
        <x:v>92</x:v>
      </x:c>
    </x:row>
    <x:row r="551">
      <x:c r="A551" t="s">
        <x:v>20</x:v>
      </x:c>
      <x:c r="B551">
        <x:v>70231485579264</x:v>
      </x:c>
      <x:c r="C551" t="s">
        <x:v>10</x:v>
      </x:c>
      <x:c r="D551" t="s">
        <x:v>21</x:v>
      </x:c>
      <x:c r="E551" t="s">
        <x:v>142</x:v>
      </x:c>
      <x:c r="F551" t="s">
        <x:v>13</x:v>
      </x:c>
      <x:c r="G551" t="s">
        <x:v>14</x:v>
      </x:c>
      <x:c r="I551" t="s">
        <x:v>92</x:v>
      </x:c>
    </x:row>
    <x:row r="552">
      <x:c r="A552" t="s">
        <x:v>9</x:v>
      </x:c>
      <x:c r="B552">
        <x:v>0.93233916286768204</x:v>
      </x:c>
      <x:c r="C552" t="s">
        <x:v>23</x:v>
      </x:c>
      <x:c r="D552" t="s">
        <x:v>21</x:v>
      </x:c>
      <x:c r="E552" t="s">
        <x:v>143</x:v>
      </x:c>
      <x:c r="F552" t="s">
        <x:v>13</x:v>
      </x:c>
      <x:c r="G552" t="s">
        <x:v>14</x:v>
      </x:c>
      <x:c r="I552" t="s">
        <x:v>92</x:v>
      </x:c>
    </x:row>
    <x:row r="553">
      <x:c r="A553" t="s">
        <x:v>17</x:v>
      </x:c>
      <x:c r="B553">
        <x:v>0.232568114995956</x:v>
      </x:c>
      <x:c r="C553" t="s">
        <x:v>23</x:v>
      </x:c>
      <x:c r="D553" t="s">
        <x:v>21</x:v>
      </x:c>
      <x:c r="E553" t="s">
        <x:v>143</x:v>
      </x:c>
      <x:c r="F553" t="s">
        <x:v>13</x:v>
      </x:c>
      <x:c r="G553" t="s">
        <x:v>14</x:v>
      </x:c>
      <x:c r="I553" t="s">
        <x:v>92</x:v>
      </x:c>
    </x:row>
    <x:row r="554">
      <x:c r="A554" t="s">
        <x:v>18</x:v>
      </x:c>
      <x:c r="B554">
        <x:v>0.155430257320404</x:v>
      </x:c>
      <x:c r="C554" t="s">
        <x:v>23</x:v>
      </x:c>
      <x:c r="D554" t="s">
        <x:v>21</x:v>
      </x:c>
      <x:c r="E554" t="s">
        <x:v>143</x:v>
      </x:c>
      <x:c r="F554" t="s">
        <x:v>13</x:v>
      </x:c>
      <x:c r="G554" t="s">
        <x:v>14</x:v>
      </x:c>
      <x:c r="I554" t="s">
        <x:v>92</x:v>
      </x:c>
    </x:row>
    <x:row r="555">
      <x:c r="A555" t="s">
        <x:v>19</x:v>
      </x:c>
      <x:c r="B555">
        <x:v>0.39424644236873402</x:v>
      </x:c>
      <x:c r="C555" t="s">
        <x:v>23</x:v>
      </x:c>
      <x:c r="D555" t="s">
        <x:v>21</x:v>
      </x:c>
      <x:c r="E555" t="s">
        <x:v>143</x:v>
      </x:c>
      <x:c r="F555" t="s">
        <x:v>13</x:v>
      </x:c>
      <x:c r="G555" t="s">
        <x:v>14</x:v>
      </x:c>
      <x:c r="I555" t="s">
        <x:v>92</x:v>
      </x:c>
    </x:row>
    <x:row r="556">
      <x:c r="A556" t="s">
        <x:v>20</x:v>
      </x:c>
      <x:c r="B556">
        <x:v>203166834491392</x:v>
      </x:c>
      <x:c r="C556" t="s">
        <x:v>23</x:v>
      </x:c>
      <x:c r="D556" t="s">
        <x:v>21</x:v>
      </x:c>
      <x:c r="E556" t="s">
        <x:v>143</x:v>
      </x:c>
      <x:c r="F556" t="s">
        <x:v>13</x:v>
      </x:c>
      <x:c r="G556" t="s">
        <x:v>14</x:v>
      </x:c>
      <x:c r="I556" t="s">
        <x:v>92</x:v>
      </x:c>
    </x:row>
    <x:row r="557">
      <x:c r="A557" t="s">
        <x:v>9</x:v>
      </x:c>
      <x:c r="B557">
        <x:v>0.93233916286768204</x:v>
      </x:c>
      <x:c r="C557" t="s">
        <x:v>23</x:v>
      </x:c>
      <x:c r="D557" t="s">
        <x:v>11</x:v>
      </x:c>
      <x:c r="E557" t="s">
        <x:v>144</x:v>
      </x:c>
      <x:c r="F557" t="s">
        <x:v>13</x:v>
      </x:c>
      <x:c r="G557" t="s">
        <x:v>14</x:v>
      </x:c>
      <x:c r="I557" t="s">
        <x:v>92</x:v>
      </x:c>
    </x:row>
    <x:row r="558">
      <x:c r="A558" t="s">
        <x:v>17</x:v>
      </x:c>
      <x:c r="B558">
        <x:v>0.232568114995956</x:v>
      </x:c>
      <x:c r="C558" t="s">
        <x:v>23</x:v>
      </x:c>
      <x:c r="D558" t="s">
        <x:v>11</x:v>
      </x:c>
      <x:c r="E558" t="s">
        <x:v>144</x:v>
      </x:c>
      <x:c r="F558" t="s">
        <x:v>13</x:v>
      </x:c>
      <x:c r="G558" t="s">
        <x:v>14</x:v>
      </x:c>
      <x:c r="I558" t="s">
        <x:v>92</x:v>
      </x:c>
    </x:row>
    <x:row r="559">
      <x:c r="A559" t="s">
        <x:v>18</x:v>
      </x:c>
      <x:c r="B559">
        <x:v>0.155430257320404</x:v>
      </x:c>
      <x:c r="C559" t="s">
        <x:v>23</x:v>
      </x:c>
      <x:c r="D559" t="s">
        <x:v>11</x:v>
      </x:c>
      <x:c r="E559" t="s">
        <x:v>144</x:v>
      </x:c>
      <x:c r="F559" t="s">
        <x:v>13</x:v>
      </x:c>
      <x:c r="G559" t="s">
        <x:v>14</x:v>
      </x:c>
      <x:c r="I559" t="s">
        <x:v>92</x:v>
      </x:c>
    </x:row>
    <x:row r="560">
      <x:c r="A560" t="s">
        <x:v>19</x:v>
      </x:c>
      <x:c r="B560">
        <x:v>0.39424644236873402</x:v>
      </x:c>
      <x:c r="C560" t="s">
        <x:v>23</x:v>
      </x:c>
      <x:c r="D560" t="s">
        <x:v>11</x:v>
      </x:c>
      <x:c r="E560" t="s">
        <x:v>144</x:v>
      </x:c>
      <x:c r="F560" t="s">
        <x:v>13</x:v>
      </x:c>
      <x:c r="G560" t="s">
        <x:v>14</x:v>
      </x:c>
      <x:c r="I560" t="s">
        <x:v>92</x:v>
      </x:c>
    </x:row>
    <x:row r="561">
      <x:c r="A561" t="s">
        <x:v>20</x:v>
      </x:c>
      <x:c r="B561">
        <x:v>203166834491392</x:v>
      </x:c>
      <x:c r="C561" t="s">
        <x:v>23</x:v>
      </x:c>
      <x:c r="D561" t="s">
        <x:v>11</x:v>
      </x:c>
      <x:c r="E561" t="s">
        <x:v>144</x:v>
      </x:c>
      <x:c r="F561" t="s">
        <x:v>13</x:v>
      </x:c>
      <x:c r="G561" t="s">
        <x:v>14</x:v>
      </x:c>
      <x:c r="I561" t="s">
        <x:v>92</x:v>
      </x:c>
    </x:row>
    <x:row r="562">
      <x:c r="A562" t="s">
        <x:v>9</x:v>
      </x:c>
      <x:c r="B562">
        <x:v>0.95574356692751605</x:v>
      </x:c>
      <x:c r="C562" t="s">
        <x:v>10</x:v>
      </x:c>
      <x:c r="D562" t="s">
        <x:v>11</x:v>
      </x:c>
      <x:c r="E562" t="s">
        <x:v>145</x:v>
      </x:c>
      <x:c r="F562" t="s">
        <x:v>13</x:v>
      </x:c>
      <x:c r="G562" t="s">
        <x:v>14</x:v>
      </x:c>
      <x:c r="I562" t="s">
        <x:v>40</x:v>
      </x:c>
    </x:row>
    <x:row r="563">
      <x:c r="A563" t="s">
        <x:v>17</x:v>
      </x:c>
      <x:c r="B563">
        <x:v>5.5599004030227599E-2</x:v>
      </x:c>
      <x:c r="C563" t="s">
        <x:v>10</x:v>
      </x:c>
      <x:c r="D563" t="s">
        <x:v>11</x:v>
      </x:c>
      <x:c r="E563" t="s">
        <x:v>145</x:v>
      </x:c>
      <x:c r="F563" t="s">
        <x:v>13</x:v>
      </x:c>
      <x:c r="G563" t="s">
        <x:v>14</x:v>
      </x:c>
      <x:c r="I563" t="s">
        <x:v>40</x:v>
      </x:c>
    </x:row>
    <x:row r="564">
      <x:c r="A564" t="s">
        <x:v>18</x:v>
      </x:c>
      <x:c r="B564">
        <x:v>1.4436296187341199E-2</x:v>
      </x:c>
      <x:c r="C564" t="s">
        <x:v>10</x:v>
      </x:c>
      <x:c r="D564" t="s">
        <x:v>11</x:v>
      </x:c>
      <x:c r="E564" t="s">
        <x:v>145</x:v>
      </x:c>
      <x:c r="F564" t="s">
        <x:v>13</x:v>
      </x:c>
      <x:c r="G564" t="s">
        <x:v>14</x:v>
      </x:c>
      <x:c r="I564" t="s">
        <x:v>40</x:v>
      </x:c>
    </x:row>
    <x:row r="565">
      <x:c r="A565" t="s">
        <x:v>19</x:v>
      </x:c>
      <x:c r="B565">
        <x:v>0.120151138934848</x:v>
      </x:c>
      <x:c r="C565" t="s">
        <x:v>10</x:v>
      </x:c>
      <x:c r="D565" t="s">
        <x:v>11</x:v>
      </x:c>
      <x:c r="E565" t="s">
        <x:v>145</x:v>
      </x:c>
      <x:c r="F565" t="s">
        <x:v>13</x:v>
      </x:c>
      <x:c r="G565" t="s">
        <x:v>14</x:v>
      </x:c>
      <x:c r="I565" t="s">
        <x:v>40</x:v>
      </x:c>
    </x:row>
    <x:row r="566">
      <x:c r="A566" t="s">
        <x:v>20</x:v>
      </x:c>
      <x:c r="B566">
        <x:v>34130335105024</x:v>
      </x:c>
      <x:c r="C566" t="s">
        <x:v>10</x:v>
      </x:c>
      <x:c r="D566" t="s">
        <x:v>11</x:v>
      </x:c>
      <x:c r="E566" t="s">
        <x:v>145</x:v>
      </x:c>
      <x:c r="F566" t="s">
        <x:v>13</x:v>
      </x:c>
      <x:c r="G566" t="s">
        <x:v>14</x:v>
      </x:c>
      <x:c r="I566" t="s">
        <x:v>40</x:v>
      </x:c>
    </x:row>
    <x:row r="567">
      <x:c r="A567" t="s">
        <x:v>9</x:v>
      </x:c>
      <x:c r="B567">
        <x:v>0.95574356692751605</x:v>
      </x:c>
      <x:c r="C567" t="s">
        <x:v>10</x:v>
      </x:c>
      <x:c r="D567" t="s">
        <x:v>21</x:v>
      </x:c>
      <x:c r="E567" t="s">
        <x:v>146</x:v>
      </x:c>
      <x:c r="F567" t="s">
        <x:v>13</x:v>
      </x:c>
      <x:c r="G567" t="s">
        <x:v>14</x:v>
      </x:c>
      <x:c r="I567" t="s">
        <x:v>40</x:v>
      </x:c>
    </x:row>
    <x:row r="568">
      <x:c r="A568" t="s">
        <x:v>17</x:v>
      </x:c>
      <x:c r="B568">
        <x:v>5.5599004030227599E-2</x:v>
      </x:c>
      <x:c r="C568" t="s">
        <x:v>10</x:v>
      </x:c>
      <x:c r="D568" t="s">
        <x:v>21</x:v>
      </x:c>
      <x:c r="E568" t="s">
        <x:v>146</x:v>
      </x:c>
      <x:c r="F568" t="s">
        <x:v>13</x:v>
      </x:c>
      <x:c r="G568" t="s">
        <x:v>14</x:v>
      </x:c>
      <x:c r="I568" t="s">
        <x:v>40</x:v>
      </x:c>
    </x:row>
    <x:row r="569">
      <x:c r="A569" t="s">
        <x:v>18</x:v>
      </x:c>
      <x:c r="B569">
        <x:v>1.4436296187341199E-2</x:v>
      </x:c>
      <x:c r="C569" t="s">
        <x:v>10</x:v>
      </x:c>
      <x:c r="D569" t="s">
        <x:v>21</x:v>
      </x:c>
      <x:c r="E569" t="s">
        <x:v>146</x:v>
      </x:c>
      <x:c r="F569" t="s">
        <x:v>13</x:v>
      </x:c>
      <x:c r="G569" t="s">
        <x:v>14</x:v>
      </x:c>
      <x:c r="I569" t="s">
        <x:v>40</x:v>
      </x:c>
    </x:row>
    <x:row r="570">
      <x:c r="A570" t="s">
        <x:v>19</x:v>
      </x:c>
      <x:c r="B570">
        <x:v>0.120151138934848</x:v>
      </x:c>
      <x:c r="C570" t="s">
        <x:v>10</x:v>
      </x:c>
      <x:c r="D570" t="s">
        <x:v>21</x:v>
      </x:c>
      <x:c r="E570" t="s">
        <x:v>146</x:v>
      </x:c>
      <x:c r="F570" t="s">
        <x:v>13</x:v>
      </x:c>
      <x:c r="G570" t="s">
        <x:v>14</x:v>
      </x:c>
      <x:c r="I570" t="s">
        <x:v>40</x:v>
      </x:c>
    </x:row>
    <x:row r="571">
      <x:c r="A571" t="s">
        <x:v>20</x:v>
      </x:c>
      <x:c r="B571">
        <x:v>34130335105024</x:v>
      </x:c>
      <x:c r="C571" t="s">
        <x:v>10</x:v>
      </x:c>
      <x:c r="D571" t="s">
        <x:v>21</x:v>
      </x:c>
      <x:c r="E571" t="s">
        <x:v>146</x:v>
      </x:c>
      <x:c r="F571" t="s">
        <x:v>13</x:v>
      </x:c>
      <x:c r="G571" t="s">
        <x:v>14</x:v>
      </x:c>
      <x:c r="I571" t="s">
        <x:v>40</x:v>
      </x:c>
    </x:row>
    <x:row r="572">
      <x:c r="A572" t="s">
        <x:v>9</x:v>
      </x:c>
      <x:c r="B572">
        <x:v>0.84778695238600799</x:v>
      </x:c>
      <x:c r="C572" t="s">
        <x:v>23</x:v>
      </x:c>
      <x:c r="D572" t="s">
        <x:v>21</x:v>
      </x:c>
      <x:c r="E572" t="s">
        <x:v>147</x:v>
      </x:c>
      <x:c r="F572" t="s">
        <x:v>13</x:v>
      </x:c>
      <x:c r="G572" t="s">
        <x:v>14</x:v>
      </x:c>
      <x:c r="I572" t="s">
        <x:v>40</x:v>
      </x:c>
    </x:row>
    <x:row r="573">
      <x:c r="A573" t="s">
        <x:v>17</x:v>
      </x:c>
      <x:c r="B573">
        <x:v>0.292191892862319</x:v>
      </x:c>
      <x:c r="C573" t="s">
        <x:v>23</x:v>
      </x:c>
      <x:c r="D573" t="s">
        <x:v>21</x:v>
      </x:c>
      <x:c r="E573" t="s">
        <x:v>147</x:v>
      </x:c>
      <x:c r="F573" t="s">
        <x:v>13</x:v>
      </x:c>
      <x:c r="G573" t="s">
        <x:v>14</x:v>
      </x:c>
      <x:c r="I573" t="s">
        <x:v>40</x:v>
      </x:c>
    </x:row>
    <x:row r="574">
      <x:c r="A574" t="s">
        <x:v>18</x:v>
      </x:c>
      <x:c r="B574">
        <x:v>0.29714909195899902</x:v>
      </x:c>
      <x:c r="C574" t="s">
        <x:v>23</x:v>
      </x:c>
      <x:c r="D574" t="s">
        <x:v>21</x:v>
      </x:c>
      <x:c r="E574" t="s">
        <x:v>147</x:v>
      </x:c>
      <x:c r="F574" t="s">
        <x:v>13</x:v>
      </x:c>
      <x:c r="G574" t="s">
        <x:v>14</x:v>
      </x:c>
      <x:c r="I574" t="s">
        <x:v>40</x:v>
      </x:c>
    </x:row>
    <x:row r="575">
      <x:c r="A575" t="s">
        <x:v>19</x:v>
      </x:c>
      <x:c r="B575">
        <x:v>0.545113833945717</x:v>
      </x:c>
      <x:c r="C575" t="s">
        <x:v>23</x:v>
      </x:c>
      <x:c r="D575" t="s">
        <x:v>21</x:v>
      </x:c>
      <x:c r="E575" t="s">
        <x:v>147</x:v>
      </x:c>
      <x:c r="F575" t="s">
        <x:v>13</x:v>
      </x:c>
      <x:c r="G575" t="s">
        <x:v>14</x:v>
      </x:c>
      <x:c r="I575" t="s">
        <x:v>40</x:v>
      </x:c>
    </x:row>
    <x:row r="576">
      <x:c r="A576" t="s">
        <x:v>20</x:v>
      </x:c>
      <x:c r="B576">
        <x:v>236942457307136</x:v>
      </x:c>
      <x:c r="C576" t="s">
        <x:v>23</x:v>
      </x:c>
      <x:c r="D576" t="s">
        <x:v>21</x:v>
      </x:c>
      <x:c r="E576" t="s">
        <x:v>147</x:v>
      </x:c>
      <x:c r="F576" t="s">
        <x:v>13</x:v>
      </x:c>
      <x:c r="G576" t="s">
        <x:v>14</x:v>
      </x:c>
      <x:c r="I576" t="s">
        <x:v>40</x:v>
      </x:c>
    </x:row>
    <x:row r="577">
      <x:c r="A577" t="s">
        <x:v>9</x:v>
      </x:c>
      <x:c r="B577">
        <x:v>0.84778695238600799</x:v>
      </x:c>
      <x:c r="C577" t="s">
        <x:v>23</x:v>
      </x:c>
      <x:c r="D577" t="s">
        <x:v>11</x:v>
      </x:c>
      <x:c r="E577" t="s">
        <x:v>148</x:v>
      </x:c>
      <x:c r="F577" t="s">
        <x:v>13</x:v>
      </x:c>
      <x:c r="G577" t="s">
        <x:v>14</x:v>
      </x:c>
      <x:c r="I577" t="s">
        <x:v>40</x:v>
      </x:c>
    </x:row>
    <x:row r="578">
      <x:c r="A578" t="s">
        <x:v>17</x:v>
      </x:c>
      <x:c r="B578">
        <x:v>0.292191892862319</x:v>
      </x:c>
      <x:c r="C578" t="s">
        <x:v>23</x:v>
      </x:c>
      <x:c r="D578" t="s">
        <x:v>11</x:v>
      </x:c>
      <x:c r="E578" t="s">
        <x:v>148</x:v>
      </x:c>
      <x:c r="F578" t="s">
        <x:v>13</x:v>
      </x:c>
      <x:c r="G578" t="s">
        <x:v>14</x:v>
      </x:c>
      <x:c r="I578" t="s">
        <x:v>40</x:v>
      </x:c>
    </x:row>
    <x:row r="579">
      <x:c r="A579" t="s">
        <x:v>18</x:v>
      </x:c>
      <x:c r="B579">
        <x:v>0.29714909195899902</x:v>
      </x:c>
      <x:c r="C579" t="s">
        <x:v>23</x:v>
      </x:c>
      <x:c r="D579" t="s">
        <x:v>11</x:v>
      </x:c>
      <x:c r="E579" t="s">
        <x:v>148</x:v>
      </x:c>
      <x:c r="F579" t="s">
        <x:v>13</x:v>
      </x:c>
      <x:c r="G579" t="s">
        <x:v>14</x:v>
      </x:c>
      <x:c r="I579" t="s">
        <x:v>40</x:v>
      </x:c>
    </x:row>
    <x:row r="580">
      <x:c r="A580" t="s">
        <x:v>19</x:v>
      </x:c>
      <x:c r="B580">
        <x:v>0.545113833945717</x:v>
      </x:c>
      <x:c r="C580" t="s">
        <x:v>23</x:v>
      </x:c>
      <x:c r="D580" t="s">
        <x:v>11</x:v>
      </x:c>
      <x:c r="E580" t="s">
        <x:v>148</x:v>
      </x:c>
      <x:c r="F580" t="s">
        <x:v>13</x:v>
      </x:c>
      <x:c r="G580" t="s">
        <x:v>14</x:v>
      </x:c>
      <x:c r="I580" t="s">
        <x:v>40</x:v>
      </x:c>
    </x:row>
    <x:row r="581">
      <x:c r="A581" t="s">
        <x:v>20</x:v>
      </x:c>
      <x:c r="B581">
        <x:v>236942457307136</x:v>
      </x:c>
      <x:c r="C581" t="s">
        <x:v>23</x:v>
      </x:c>
      <x:c r="D581" t="s">
        <x:v>11</x:v>
      </x:c>
      <x:c r="E581" t="s">
        <x:v>148</x:v>
      </x:c>
      <x:c r="F581" t="s">
        <x:v>13</x:v>
      </x:c>
      <x:c r="G581" t="s">
        <x:v>14</x:v>
      </x:c>
      <x:c r="I581" t="s">
        <x:v>40</x:v>
      </x:c>
    </x:row>
    <x:row r="582">
      <x:c r="A582" t="s">
        <x:v>9</x:v>
      </x:c>
      <x:c r="B582">
        <x:v>0.78370136198116602</x:v>
      </x:c>
      <x:c r="C582" t="s">
        <x:v>10</x:v>
      </x:c>
      <x:c r="D582" t="s">
        <x:v>11</x:v>
      </x:c>
      <x:c r="E582" t="s">
        <x:v>149</x:v>
      </x:c>
      <x:c r="F582" t="s">
        <x:v>33</x:v>
      </x:c>
      <x:c r="G582" t="s">
        <x:v>14</x:v>
      </x:c>
      <x:c r="H582" t="s">
        <x:v>15</x:v>
      </x:c>
      <x:c r="I582" t="s">
        <x:v>40</x:v>
      </x:c>
    </x:row>
    <x:row r="583">
      <x:c r="A583" t="s">
        <x:v>17</x:v>
      </x:c>
      <x:c r="B583">
        <x:v>0.67872297763824396</x:v>
      </x:c>
      <x:c r="C583" t="s">
        <x:v>10</x:v>
      </x:c>
      <x:c r="D583" t="s">
        <x:v>11</x:v>
      </x:c>
      <x:c r="E583" t="s">
        <x:v>149</x:v>
      </x:c>
      <x:c r="F583" t="s">
        <x:v>33</x:v>
      </x:c>
      <x:c r="G583" t="s">
        <x:v>14</x:v>
      </x:c>
      <x:c r="H583" t="s">
        <x:v>15</x:v>
      </x:c>
      <x:c r="I583" t="s">
        <x:v>40</x:v>
      </x:c>
    </x:row>
    <x:row r="584">
      <x:c r="A584" t="s">
        <x:v>18</x:v>
      </x:c>
      <x:c r="B584">
        <x:v>0.80797189474105802</x:v>
      </x:c>
      <x:c r="C584" t="s">
        <x:v>10</x:v>
      </x:c>
      <x:c r="D584" t="s">
        <x:v>11</x:v>
      </x:c>
      <x:c r="E584" t="s">
        <x:v>149</x:v>
      </x:c>
      <x:c r="F584" t="s">
        <x:v>33</x:v>
      </x:c>
      <x:c r="G584" t="s">
        <x:v>14</x:v>
      </x:c>
      <x:c r="H584" t="s">
        <x:v>15</x:v>
      </x:c>
      <x:c r="I584" t="s">
        <x:v>40</x:v>
      </x:c>
    </x:row>
    <x:row r="585">
      <x:c r="A585" t="s">
        <x:v>19</x:v>
      </x:c>
      <x:c r="B585">
        <x:v>0.89887256868872001</x:v>
      </x:c>
      <x:c r="C585" t="s">
        <x:v>10</x:v>
      </x:c>
      <x:c r="D585" t="s">
        <x:v>11</x:v>
      </x:c>
      <x:c r="E585" t="s">
        <x:v>149</x:v>
      </x:c>
      <x:c r="F585" t="s">
        <x:v>33</x:v>
      </x:c>
      <x:c r="G585" t="s">
        <x:v>14</x:v>
      </x:c>
      <x:c r="H585" t="s">
        <x:v>15</x:v>
      </x:c>
      <x:c r="I585" t="s">
        <x:v>40</x:v>
      </x:c>
    </x:row>
    <x:row r="586">
      <x:c r="A586" t="s">
        <x:v>20</x:v>
      </x:c>
      <x:c r="B586">
        <x:v>6981935955968</x:v>
      </x:c>
      <x:c r="C586" t="s">
        <x:v>10</x:v>
      </x:c>
      <x:c r="D586" t="s">
        <x:v>11</x:v>
      </x:c>
      <x:c r="E586" t="s">
        <x:v>149</x:v>
      </x:c>
      <x:c r="F586" t="s">
        <x:v>33</x:v>
      </x:c>
      <x:c r="G586" t="s">
        <x:v>14</x:v>
      </x:c>
      <x:c r="H586" t="s">
        <x:v>15</x:v>
      </x:c>
      <x:c r="I586" t="s">
        <x:v>40</x:v>
      </x:c>
    </x:row>
    <x:row r="587">
      <x:c r="A587" t="s">
        <x:v>9</x:v>
      </x:c>
      <x:c r="B587">
        <x:v>0.78370136198116602</x:v>
      </x:c>
      <x:c r="C587" t="s">
        <x:v>10</x:v>
      </x:c>
      <x:c r="D587" t="s">
        <x:v>21</x:v>
      </x:c>
      <x:c r="E587" t="s">
        <x:v>150</x:v>
      </x:c>
      <x:c r="F587" t="s">
        <x:v>33</x:v>
      </x:c>
      <x:c r="G587" t="s">
        <x:v>14</x:v>
      </x:c>
      <x:c r="H587" t="s">
        <x:v>15</x:v>
      </x:c>
      <x:c r="I587" t="s">
        <x:v>40</x:v>
      </x:c>
    </x:row>
    <x:row r="588">
      <x:c r="A588" t="s">
        <x:v>17</x:v>
      </x:c>
      <x:c r="B588">
        <x:v>0.67872297763824396</x:v>
      </x:c>
      <x:c r="C588" t="s">
        <x:v>10</x:v>
      </x:c>
      <x:c r="D588" t="s">
        <x:v>21</x:v>
      </x:c>
      <x:c r="E588" t="s">
        <x:v>150</x:v>
      </x:c>
      <x:c r="F588" t="s">
        <x:v>33</x:v>
      </x:c>
      <x:c r="G588" t="s">
        <x:v>14</x:v>
      </x:c>
      <x:c r="H588" t="s">
        <x:v>15</x:v>
      </x:c>
      <x:c r="I588" t="s">
        <x:v>40</x:v>
      </x:c>
    </x:row>
    <x:row r="589">
      <x:c r="A589" t="s">
        <x:v>18</x:v>
      </x:c>
      <x:c r="B589">
        <x:v>0.80797189474105802</x:v>
      </x:c>
      <x:c r="C589" t="s">
        <x:v>10</x:v>
      </x:c>
      <x:c r="D589" t="s">
        <x:v>21</x:v>
      </x:c>
      <x:c r="E589" t="s">
        <x:v>150</x:v>
      </x:c>
      <x:c r="F589" t="s">
        <x:v>33</x:v>
      </x:c>
      <x:c r="G589" t="s">
        <x:v>14</x:v>
      </x:c>
      <x:c r="H589" t="s">
        <x:v>15</x:v>
      </x:c>
      <x:c r="I589" t="s">
        <x:v>40</x:v>
      </x:c>
    </x:row>
    <x:row r="590">
      <x:c r="A590" t="s">
        <x:v>19</x:v>
      </x:c>
      <x:c r="B590">
        <x:v>0.89887256868872001</x:v>
      </x:c>
      <x:c r="C590" t="s">
        <x:v>10</x:v>
      </x:c>
      <x:c r="D590" t="s">
        <x:v>21</x:v>
      </x:c>
      <x:c r="E590" t="s">
        <x:v>150</x:v>
      </x:c>
      <x:c r="F590" t="s">
        <x:v>33</x:v>
      </x:c>
      <x:c r="G590" t="s">
        <x:v>14</x:v>
      </x:c>
      <x:c r="H590" t="s">
        <x:v>15</x:v>
      </x:c>
      <x:c r="I590" t="s">
        <x:v>40</x:v>
      </x:c>
    </x:row>
    <x:row r="591">
      <x:c r="A591" t="s">
        <x:v>20</x:v>
      </x:c>
      <x:c r="B591">
        <x:v>6981935955968</x:v>
      </x:c>
      <x:c r="C591" t="s">
        <x:v>10</x:v>
      </x:c>
      <x:c r="D591" t="s">
        <x:v>21</x:v>
      </x:c>
      <x:c r="E591" t="s">
        <x:v>150</x:v>
      </x:c>
      <x:c r="F591" t="s">
        <x:v>33</x:v>
      </x:c>
      <x:c r="G591" t="s">
        <x:v>14</x:v>
      </x:c>
      <x:c r="H591" t="s">
        <x:v>15</x:v>
      </x:c>
      <x:c r="I591" t="s">
        <x:v>40</x:v>
      </x:c>
    </x:row>
    <x:row r="592">
      <x:c r="A592" t="s">
        <x:v>9</x:v>
      </x:c>
      <x:c r="B592">
        <x:v>0.85712241346154805</x:v>
      </x:c>
      <x:c r="C592" t="s">
        <x:v>23</x:v>
      </x:c>
      <x:c r="D592" t="s">
        <x:v>21</x:v>
      </x:c>
      <x:c r="E592" t="s">
        <x:v>151</x:v>
      </x:c>
      <x:c r="F592" t="s">
        <x:v>33</x:v>
      </x:c>
      <x:c r="G592" t="s">
        <x:v>14</x:v>
      </x:c>
      <x:c r="H592" t="s">
        <x:v>15</x:v>
      </x:c>
      <x:c r="I592" t="s">
        <x:v>40</x:v>
      </x:c>
    </x:row>
    <x:row r="593">
      <x:c r="A593" t="s">
        <x:v>17</x:v>
      </x:c>
      <x:c r="B593">
        <x:v>0.39607781171798701</x:v>
      </x:c>
      <x:c r="C593" t="s">
        <x:v>23</x:v>
      </x:c>
      <x:c r="D593" t="s">
        <x:v>21</x:v>
      </x:c>
      <x:c r="E593" t="s">
        <x:v>151</x:v>
      </x:c>
      <x:c r="F593" t="s">
        <x:v>33</x:v>
      </x:c>
      <x:c r="G593" t="s">
        <x:v>14</x:v>
      </x:c>
      <x:c r="H593" t="s">
        <x:v>15</x:v>
      </x:c>
      <x:c r="I593" t="s">
        <x:v>40</x:v>
      </x:c>
    </x:row>
    <x:row r="594">
      <x:c r="A594" t="s">
        <x:v>18</x:v>
      </x:c>
      <x:c r="B594">
        <x:v>0.26919311285018899</x:v>
      </x:c>
      <x:c r="C594" t="s">
        <x:v>23</x:v>
      </x:c>
      <x:c r="D594" t="s">
        <x:v>21</x:v>
      </x:c>
      <x:c r="E594" t="s">
        <x:v>151</x:v>
      </x:c>
      <x:c r="F594" t="s">
        <x:v>33</x:v>
      </x:c>
      <x:c r="G594" t="s">
        <x:v>14</x:v>
      </x:c>
      <x:c r="H594" t="s">
        <x:v>15</x:v>
      </x:c>
      <x:c r="I594" t="s">
        <x:v>40</x:v>
      </x:c>
    </x:row>
    <x:row r="595">
      <x:c r="A595" t="s">
        <x:v>19</x:v>
      </x:c>
      <x:c r="B595">
        <x:v>0.51883823379757699</x:v>
      </x:c>
      <x:c r="C595" t="s">
        <x:v>23</x:v>
      </x:c>
      <x:c r="D595" t="s">
        <x:v>21</x:v>
      </x:c>
      <x:c r="E595" t="s">
        <x:v>151</x:v>
      </x:c>
      <x:c r="F595" t="s">
        <x:v>33</x:v>
      </x:c>
      <x:c r="G595" t="s">
        <x:v>14</x:v>
      </x:c>
      <x:c r="H595" t="s">
        <x:v>15</x:v>
      </x:c>
      <x:c r="I595" t="s">
        <x:v>40</x:v>
      </x:c>
    </x:row>
    <x:row r="596">
      <x:c r="A596" t="s">
        <x:v>20</x:v>
      </x:c>
      <x:c r="B596">
        <x:v>731124632387584</x:v>
      </x:c>
      <x:c r="C596" t="s">
        <x:v>23</x:v>
      </x:c>
      <x:c r="D596" t="s">
        <x:v>21</x:v>
      </x:c>
      <x:c r="E596" t="s">
        <x:v>151</x:v>
      </x:c>
      <x:c r="F596" t="s">
        <x:v>33</x:v>
      </x:c>
      <x:c r="G596" t="s">
        <x:v>14</x:v>
      </x:c>
      <x:c r="H596" t="s">
        <x:v>15</x:v>
      </x:c>
      <x:c r="I596" t="s">
        <x:v>40</x:v>
      </x:c>
    </x:row>
    <x:row r="597">
      <x:c r="A597" t="s">
        <x:v>9</x:v>
      </x:c>
      <x:c r="B597">
        <x:v>0.85712241346154805</x:v>
      </x:c>
      <x:c r="C597" t="s">
        <x:v>23</x:v>
      </x:c>
      <x:c r="D597" t="s">
        <x:v>11</x:v>
      </x:c>
      <x:c r="E597" t="s">
        <x:v>152</x:v>
      </x:c>
      <x:c r="F597" t="s">
        <x:v>33</x:v>
      </x:c>
      <x:c r="G597" t="s">
        <x:v>14</x:v>
      </x:c>
      <x:c r="H597" t="s">
        <x:v>15</x:v>
      </x:c>
      <x:c r="I597" t="s">
        <x:v>40</x:v>
      </x:c>
    </x:row>
    <x:row r="598">
      <x:c r="A598" t="s">
        <x:v>17</x:v>
      </x:c>
      <x:c r="B598">
        <x:v>0.39607781171798701</x:v>
      </x:c>
      <x:c r="C598" t="s">
        <x:v>23</x:v>
      </x:c>
      <x:c r="D598" t="s">
        <x:v>11</x:v>
      </x:c>
      <x:c r="E598" t="s">
        <x:v>152</x:v>
      </x:c>
      <x:c r="F598" t="s">
        <x:v>33</x:v>
      </x:c>
      <x:c r="G598" t="s">
        <x:v>14</x:v>
      </x:c>
      <x:c r="H598" t="s">
        <x:v>15</x:v>
      </x:c>
      <x:c r="I598" t="s">
        <x:v>40</x:v>
      </x:c>
    </x:row>
    <x:row r="599">
      <x:c r="A599" t="s">
        <x:v>18</x:v>
      </x:c>
      <x:c r="B599">
        <x:v>0.26919311285018899</x:v>
      </x:c>
      <x:c r="C599" t="s">
        <x:v>23</x:v>
      </x:c>
      <x:c r="D599" t="s">
        <x:v>11</x:v>
      </x:c>
      <x:c r="E599" t="s">
        <x:v>152</x:v>
      </x:c>
      <x:c r="F599" t="s">
        <x:v>33</x:v>
      </x:c>
      <x:c r="G599" t="s">
        <x:v>14</x:v>
      </x:c>
      <x:c r="H599" t="s">
        <x:v>15</x:v>
      </x:c>
      <x:c r="I599" t="s">
        <x:v>40</x:v>
      </x:c>
    </x:row>
    <x:row r="600">
      <x:c r="A600" t="s">
        <x:v>19</x:v>
      </x:c>
      <x:c r="B600">
        <x:v>0.51883823379757699</x:v>
      </x:c>
      <x:c r="C600" t="s">
        <x:v>23</x:v>
      </x:c>
      <x:c r="D600" t="s">
        <x:v>11</x:v>
      </x:c>
      <x:c r="E600" t="s">
        <x:v>152</x:v>
      </x:c>
      <x:c r="F600" t="s">
        <x:v>33</x:v>
      </x:c>
      <x:c r="G600" t="s">
        <x:v>14</x:v>
      </x:c>
      <x:c r="H600" t="s">
        <x:v>15</x:v>
      </x:c>
      <x:c r="I600" t="s">
        <x:v>40</x:v>
      </x:c>
    </x:row>
    <x:row r="601">
      <x:c r="A601" t="s">
        <x:v>20</x:v>
      </x:c>
      <x:c r="B601">
        <x:v>731124632387584</x:v>
      </x:c>
      <x:c r="C601" t="s">
        <x:v>23</x:v>
      </x:c>
      <x:c r="D601" t="s">
        <x:v>11</x:v>
      </x:c>
      <x:c r="E601" t="s">
        <x:v>152</x:v>
      </x:c>
      <x:c r="F601" t="s">
        <x:v>33</x:v>
      </x:c>
      <x:c r="G601" t="s">
        <x:v>14</x:v>
      </x:c>
      <x:c r="H601" t="s">
        <x:v>15</x:v>
      </x:c>
      <x:c r="I601" t="s">
        <x:v>40</x:v>
      </x:c>
    </x:row>
    <x:row r="602">
      <x:c r="A602" t="s">
        <x:v>9</x:v>
      </x:c>
      <x:c r="B602">
        <x:v>0.90525510582818802</x:v>
      </x:c>
      <x:c r="C602" t="s">
        <x:v>10</x:v>
      </x:c>
      <x:c r="D602" t="s">
        <x:v>11</x:v>
      </x:c>
      <x:c r="E602" t="s">
        <x:v>153</x:v>
      </x:c>
      <x:c r="F602" t="s">
        <x:v>33</x:v>
      </x:c>
      <x:c r="G602" t="s">
        <x:v>14</x:v>
      </x:c>
      <x:c r="I602" t="s">
        <x:v>92</x:v>
      </x:c>
    </x:row>
    <x:row r="603">
      <x:c r="A603" t="s">
        <x:v>17</x:v>
      </x:c>
      <x:c r="B603">
        <x:v>0.32513305544853199</x:v>
      </x:c>
      <x:c r="C603" t="s">
        <x:v>10</x:v>
      </x:c>
      <x:c r="D603" t="s">
        <x:v>11</x:v>
      </x:c>
      <x:c r="E603" t="s">
        <x:v>153</x:v>
      </x:c>
      <x:c r="F603" t="s">
        <x:v>33</x:v>
      </x:c>
      <x:c r="G603" t="s">
        <x:v>14</x:v>
      </x:c>
      <x:c r="I603" t="s">
        <x:v>92</x:v>
      </x:c>
    </x:row>
    <x:row r="604">
      <x:c r="A604" t="s">
        <x:v>18</x:v>
      </x:c>
      <x:c r="B604">
        <x:v>0.19138093292713099</x:v>
      </x:c>
      <x:c r="C604" t="s">
        <x:v>10</x:v>
      </x:c>
      <x:c r="D604" t="s">
        <x:v>11</x:v>
      </x:c>
      <x:c r="E604" t="s">
        <x:v>153</x:v>
      </x:c>
      <x:c r="F604" t="s">
        <x:v>33</x:v>
      </x:c>
      <x:c r="G604" t="s">
        <x:v>14</x:v>
      </x:c>
      <x:c r="I604" t="s">
        <x:v>92</x:v>
      </x:c>
    </x:row>
    <x:row r="605">
      <x:c r="A605" t="s">
        <x:v>19</x:v>
      </x:c>
      <x:c r="B605">
        <x:v>0.43747106524561302</x:v>
      </x:c>
      <x:c r="C605" t="s">
        <x:v>10</x:v>
      </x:c>
      <x:c r="D605" t="s">
        <x:v>11</x:v>
      </x:c>
      <x:c r="E605" t="s">
        <x:v>153</x:v>
      </x:c>
      <x:c r="F605" t="s">
        <x:v>33</x:v>
      </x:c>
      <x:c r="G605" t="s">
        <x:v>14</x:v>
      </x:c>
      <x:c r="I605" t="s">
        <x:v>92</x:v>
      </x:c>
    </x:row>
    <x:row r="606">
      <x:c r="A606" t="s">
        <x:v>20</x:v>
      </x:c>
      <x:c r="B606">
        <x:v>29586431672320</x:v>
      </x:c>
      <x:c r="C606" t="s">
        <x:v>10</x:v>
      </x:c>
      <x:c r="D606" t="s">
        <x:v>11</x:v>
      </x:c>
      <x:c r="E606" t="s">
        <x:v>153</x:v>
      </x:c>
      <x:c r="F606" t="s">
        <x:v>33</x:v>
      </x:c>
      <x:c r="G606" t="s">
        <x:v>14</x:v>
      </x:c>
      <x:c r="I606" t="s">
        <x:v>92</x:v>
      </x:c>
    </x:row>
    <x:row r="607">
      <x:c r="A607" t="s">
        <x:v>9</x:v>
      </x:c>
      <x:c r="B607">
        <x:v>0.90525510582818802</x:v>
      </x:c>
      <x:c r="C607" t="s">
        <x:v>10</x:v>
      </x:c>
      <x:c r="D607" t="s">
        <x:v>21</x:v>
      </x:c>
      <x:c r="E607" t="s">
        <x:v>154</x:v>
      </x:c>
      <x:c r="F607" t="s">
        <x:v>33</x:v>
      </x:c>
      <x:c r="G607" t="s">
        <x:v>14</x:v>
      </x:c>
      <x:c r="I607" t="s">
        <x:v>92</x:v>
      </x:c>
    </x:row>
    <x:row r="608">
      <x:c r="A608" t="s">
        <x:v>17</x:v>
      </x:c>
      <x:c r="B608">
        <x:v>0.32513305544853199</x:v>
      </x:c>
      <x:c r="C608" t="s">
        <x:v>10</x:v>
      </x:c>
      <x:c r="D608" t="s">
        <x:v>21</x:v>
      </x:c>
      <x:c r="E608" t="s">
        <x:v>154</x:v>
      </x:c>
      <x:c r="F608" t="s">
        <x:v>33</x:v>
      </x:c>
      <x:c r="G608" t="s">
        <x:v>14</x:v>
      </x:c>
      <x:c r="I608" t="s">
        <x:v>92</x:v>
      </x:c>
    </x:row>
    <x:row r="609">
      <x:c r="A609" t="s">
        <x:v>18</x:v>
      </x:c>
      <x:c r="B609">
        <x:v>0.19138093292713099</x:v>
      </x:c>
      <x:c r="C609" t="s">
        <x:v>10</x:v>
      </x:c>
      <x:c r="D609" t="s">
        <x:v>21</x:v>
      </x:c>
      <x:c r="E609" t="s">
        <x:v>154</x:v>
      </x:c>
      <x:c r="F609" t="s">
        <x:v>33</x:v>
      </x:c>
      <x:c r="G609" t="s">
        <x:v>14</x:v>
      </x:c>
      <x:c r="I609" t="s">
        <x:v>92</x:v>
      </x:c>
    </x:row>
    <x:row r="610">
      <x:c r="A610" t="s">
        <x:v>19</x:v>
      </x:c>
      <x:c r="B610">
        <x:v>0.43747106524561302</x:v>
      </x:c>
      <x:c r="C610" t="s">
        <x:v>10</x:v>
      </x:c>
      <x:c r="D610" t="s">
        <x:v>21</x:v>
      </x:c>
      <x:c r="E610" t="s">
        <x:v>154</x:v>
      </x:c>
      <x:c r="F610" t="s">
        <x:v>33</x:v>
      </x:c>
      <x:c r="G610" t="s">
        <x:v>14</x:v>
      </x:c>
      <x:c r="I610" t="s">
        <x:v>92</x:v>
      </x:c>
    </x:row>
    <x:row r="611">
      <x:c r="A611" t="s">
        <x:v>20</x:v>
      </x:c>
      <x:c r="B611">
        <x:v>29586431672320</x:v>
      </x:c>
      <x:c r="C611" t="s">
        <x:v>10</x:v>
      </x:c>
      <x:c r="D611" t="s">
        <x:v>21</x:v>
      </x:c>
      <x:c r="E611" t="s">
        <x:v>154</x:v>
      </x:c>
      <x:c r="F611" t="s">
        <x:v>33</x:v>
      </x:c>
      <x:c r="G611" t="s">
        <x:v>14</x:v>
      </x:c>
      <x:c r="I611" t="s">
        <x:v>92</x:v>
      </x:c>
    </x:row>
    <x:row r="612">
      <x:c r="A612" t="s">
        <x:v>9</x:v>
      </x:c>
      <x:c r="B612">
        <x:v>0.89506613002249602</x:v>
      </x:c>
      <x:c r="C612" t="s">
        <x:v>23</x:v>
      </x:c>
      <x:c r="D612" t="s">
        <x:v>21</x:v>
      </x:c>
      <x:c r="E612" t="s">
        <x:v>155</x:v>
      </x:c>
      <x:c r="F612" t="s">
        <x:v>33</x:v>
      </x:c>
      <x:c r="G612" t="s">
        <x:v>14</x:v>
      </x:c>
      <x:c r="I612" t="s">
        <x:v>92</x:v>
      </x:c>
    </x:row>
    <x:row r="613">
      <x:c r="A613" t="s">
        <x:v>17</x:v>
      </x:c>
      <x:c r="B613">
        <x:v>0.32576897740364003</x:v>
      </x:c>
      <x:c r="C613" t="s">
        <x:v>23</x:v>
      </x:c>
      <x:c r="D613" t="s">
        <x:v>21</x:v>
      </x:c>
      <x:c r="E613" t="s">
        <x:v>155</x:v>
      </x:c>
      <x:c r="F613" t="s">
        <x:v>33</x:v>
      </x:c>
      <x:c r="G613" t="s">
        <x:v>14</x:v>
      </x:c>
      <x:c r="I613" t="s">
        <x:v>92</x:v>
      </x:c>
    </x:row>
    <x:row r="614">
      <x:c r="A614" t="s">
        <x:v>18</x:v>
      </x:c>
      <x:c r="B614">
        <x:v>0.26569956541061401</x:v>
      </x:c>
      <x:c r="C614" t="s">
        <x:v>23</x:v>
      </x:c>
      <x:c r="D614" t="s">
        <x:v>21</x:v>
      </x:c>
      <x:c r="E614" t="s">
        <x:v>155</x:v>
      </x:c>
      <x:c r="F614" t="s">
        <x:v>33</x:v>
      </x:c>
      <x:c r="G614" t="s">
        <x:v>14</x:v>
      </x:c>
      <x:c r="I614" t="s">
        <x:v>92</x:v>
      </x:c>
    </x:row>
    <x:row r="615">
      <x:c r="A615" t="s">
        <x:v>19</x:v>
      </x:c>
      <x:c r="B615">
        <x:v>0.51546053720009799</x:v>
      </x:c>
      <x:c r="C615" t="s">
        <x:v>23</x:v>
      </x:c>
      <x:c r="D615" t="s">
        <x:v>21</x:v>
      </x:c>
      <x:c r="E615" t="s">
        <x:v>155</x:v>
      </x:c>
      <x:c r="F615" t="s">
        <x:v>33</x:v>
      </x:c>
      <x:c r="G615" t="s">
        <x:v>14</x:v>
      </x:c>
      <x:c r="I615" t="s">
        <x:v>92</x:v>
      </x:c>
    </x:row>
    <x:row r="616">
      <x:c r="A616" t="s">
        <x:v>20</x:v>
      </x:c>
      <x:c r="B616">
        <x:v>263605429731328</x:v>
      </x:c>
      <x:c r="C616" t="s">
        <x:v>23</x:v>
      </x:c>
      <x:c r="D616" t="s">
        <x:v>21</x:v>
      </x:c>
      <x:c r="E616" t="s">
        <x:v>155</x:v>
      </x:c>
      <x:c r="F616" t="s">
        <x:v>33</x:v>
      </x:c>
      <x:c r="G616" t="s">
        <x:v>14</x:v>
      </x:c>
      <x:c r="I616" t="s">
        <x:v>92</x:v>
      </x:c>
    </x:row>
    <x:row r="617">
      <x:c r="A617" t="s">
        <x:v>9</x:v>
      </x:c>
      <x:c r="B617">
        <x:v>0.89506613002249602</x:v>
      </x:c>
      <x:c r="C617" t="s">
        <x:v>23</x:v>
      </x:c>
      <x:c r="D617" t="s">
        <x:v>11</x:v>
      </x:c>
      <x:c r="E617" t="s">
        <x:v>156</x:v>
      </x:c>
      <x:c r="F617" t="s">
        <x:v>33</x:v>
      </x:c>
      <x:c r="G617" t="s">
        <x:v>14</x:v>
      </x:c>
      <x:c r="I617" t="s">
        <x:v>92</x:v>
      </x:c>
    </x:row>
    <x:row r="618">
      <x:c r="A618" t="s">
        <x:v>17</x:v>
      </x:c>
      <x:c r="B618">
        <x:v>0.32576897740364003</x:v>
      </x:c>
      <x:c r="C618" t="s">
        <x:v>23</x:v>
      </x:c>
      <x:c r="D618" t="s">
        <x:v>11</x:v>
      </x:c>
      <x:c r="E618" t="s">
        <x:v>156</x:v>
      </x:c>
      <x:c r="F618" t="s">
        <x:v>33</x:v>
      </x:c>
      <x:c r="G618" t="s">
        <x:v>14</x:v>
      </x:c>
      <x:c r="I618" t="s">
        <x:v>92</x:v>
      </x:c>
    </x:row>
    <x:row r="619">
      <x:c r="A619" t="s">
        <x:v>18</x:v>
      </x:c>
      <x:c r="B619">
        <x:v>0.26569956541061401</x:v>
      </x:c>
      <x:c r="C619" t="s">
        <x:v>23</x:v>
      </x:c>
      <x:c r="D619" t="s">
        <x:v>11</x:v>
      </x:c>
      <x:c r="E619" t="s">
        <x:v>156</x:v>
      </x:c>
      <x:c r="F619" t="s">
        <x:v>33</x:v>
      </x:c>
      <x:c r="G619" t="s">
        <x:v>14</x:v>
      </x:c>
      <x:c r="I619" t="s">
        <x:v>92</x:v>
      </x:c>
    </x:row>
    <x:row r="620">
      <x:c r="A620" t="s">
        <x:v>19</x:v>
      </x:c>
      <x:c r="B620">
        <x:v>0.51546053720009799</x:v>
      </x:c>
      <x:c r="C620" t="s">
        <x:v>23</x:v>
      </x:c>
      <x:c r="D620" t="s">
        <x:v>11</x:v>
      </x:c>
      <x:c r="E620" t="s">
        <x:v>156</x:v>
      </x:c>
      <x:c r="F620" t="s">
        <x:v>33</x:v>
      </x:c>
      <x:c r="G620" t="s">
        <x:v>14</x:v>
      </x:c>
      <x:c r="I620" t="s">
        <x:v>92</x:v>
      </x:c>
    </x:row>
    <x:row r="621">
      <x:c r="A621" t="s">
        <x:v>20</x:v>
      </x:c>
      <x:c r="B621">
        <x:v>263605429731328</x:v>
      </x:c>
      <x:c r="C621" t="s">
        <x:v>23</x:v>
      </x:c>
      <x:c r="D621" t="s">
        <x:v>11</x:v>
      </x:c>
      <x:c r="E621" t="s">
        <x:v>156</x:v>
      </x:c>
      <x:c r="F621" t="s">
        <x:v>33</x:v>
      </x:c>
      <x:c r="G621" t="s">
        <x:v>14</x:v>
      </x:c>
      <x:c r="I621" t="s">
        <x:v>92</x:v>
      </x:c>
    </x:row>
    <x:row r="622">
      <x:c r="A622" t="s">
        <x:v>9</x:v>
      </x:c>
      <x:c r="B622">
        <x:v>0.96415394016778599</x:v>
      </x:c>
      <x:c r="C622" t="s">
        <x:v>10</x:v>
      </x:c>
      <x:c r="D622" t="s">
        <x:v>11</x:v>
      </x:c>
      <x:c r="E622" t="s">
        <x:v>157</x:v>
      </x:c>
      <x:c r="F622" t="s">
        <x:v>13</x:v>
      </x:c>
      <x:c r="G622" t="s">
        <x:v>14</x:v>
      </x:c>
      <x:c r="I622" t="s">
        <x:v>16</x:v>
      </x:c>
    </x:row>
    <x:row r="623">
      <x:c r="A623" t="s">
        <x:v>17</x:v>
      </x:c>
      <x:c r="B623">
        <x:v>1.7632091417908599E-2</x:v>
      </x:c>
      <x:c r="C623" t="s">
        <x:v>10</x:v>
      </x:c>
      <x:c r="D623" t="s">
        <x:v>11</x:v>
      </x:c>
      <x:c r="E623" t="s">
        <x:v>157</x:v>
      </x:c>
      <x:c r="F623" t="s">
        <x:v>13</x:v>
      </x:c>
      <x:c r="G623" t="s">
        <x:v>14</x:v>
      </x:c>
      <x:c r="I623" t="s">
        <x:v>16</x:v>
      </x:c>
    </x:row>
    <x:row r="624">
      <x:c r="A624" t="s">
        <x:v>18</x:v>
      </x:c>
      <x:c r="B624">
        <x:v>3.4523759968578798E-3</x:v>
      </x:c>
      <x:c r="C624" t="s">
        <x:v>10</x:v>
      </x:c>
      <x:c r="D624" t="s">
        <x:v>11</x:v>
      </x:c>
      <x:c r="E624" t="s">
        <x:v>157</x:v>
      </x:c>
      <x:c r="F624" t="s">
        <x:v>13</x:v>
      </x:c>
      <x:c r="G624" t="s">
        <x:v>14</x:v>
      </x:c>
      <x:c r="I624" t="s">
        <x:v>16</x:v>
      </x:c>
    </x:row>
    <x:row r="625">
      <x:c r="A625" t="s">
        <x:v>19</x:v>
      </x:c>
      <x:c r="B625">
        <x:v>5.87569229696202E-2</x:v>
      </x:c>
      <x:c r="C625" t="s">
        <x:v>10</x:v>
      </x:c>
      <x:c r="D625" t="s">
        <x:v>11</x:v>
      </x:c>
      <x:c r="E625" t="s">
        <x:v>157</x:v>
      </x:c>
      <x:c r="F625" t="s">
        <x:v>13</x:v>
      </x:c>
      <x:c r="G625" t="s">
        <x:v>14</x:v>
      </x:c>
      <x:c r="I625" t="s">
        <x:v>16</x:v>
      </x:c>
    </x:row>
    <x:row r="626">
      <x:c r="A626" t="s">
        <x:v>20</x:v>
      </x:c>
      <x:c r="B626">
        <x:v>12668917252096</x:v>
      </x:c>
      <x:c r="C626" t="s">
        <x:v>10</x:v>
      </x:c>
      <x:c r="D626" t="s">
        <x:v>11</x:v>
      </x:c>
      <x:c r="E626" t="s">
        <x:v>157</x:v>
      </x:c>
      <x:c r="F626" t="s">
        <x:v>13</x:v>
      </x:c>
      <x:c r="G626" t="s">
        <x:v>14</x:v>
      </x:c>
      <x:c r="I626" t="s">
        <x:v>16</x:v>
      </x:c>
    </x:row>
    <x:row r="627">
      <x:c r="A627" t="s">
        <x:v>9</x:v>
      </x:c>
      <x:c r="B627">
        <x:v>0.96415394016778599</x:v>
      </x:c>
      <x:c r="C627" t="s">
        <x:v>10</x:v>
      </x:c>
      <x:c r="D627" t="s">
        <x:v>21</x:v>
      </x:c>
      <x:c r="E627" t="s">
        <x:v>158</x:v>
      </x:c>
      <x:c r="F627" t="s">
        <x:v>13</x:v>
      </x:c>
      <x:c r="G627" t="s">
        <x:v>14</x:v>
      </x:c>
      <x:c r="I627" t="s">
        <x:v>16</x:v>
      </x:c>
    </x:row>
    <x:row r="628">
      <x:c r="A628" t="s">
        <x:v>17</x:v>
      </x:c>
      <x:c r="B628">
        <x:v>1.7632091417908599E-2</x:v>
      </x:c>
      <x:c r="C628" t="s">
        <x:v>10</x:v>
      </x:c>
      <x:c r="D628" t="s">
        <x:v>21</x:v>
      </x:c>
      <x:c r="E628" t="s">
        <x:v>158</x:v>
      </x:c>
      <x:c r="F628" t="s">
        <x:v>13</x:v>
      </x:c>
      <x:c r="G628" t="s">
        <x:v>14</x:v>
      </x:c>
      <x:c r="I628" t="s">
        <x:v>16</x:v>
      </x:c>
    </x:row>
    <x:row r="629">
      <x:c r="A629" t="s">
        <x:v>18</x:v>
      </x:c>
      <x:c r="B629">
        <x:v>3.4523759968578798E-3</x:v>
      </x:c>
      <x:c r="C629" t="s">
        <x:v>10</x:v>
      </x:c>
      <x:c r="D629" t="s">
        <x:v>21</x:v>
      </x:c>
      <x:c r="E629" t="s">
        <x:v>158</x:v>
      </x:c>
      <x:c r="F629" t="s">
        <x:v>13</x:v>
      </x:c>
      <x:c r="G629" t="s">
        <x:v>14</x:v>
      </x:c>
      <x:c r="I629" t="s">
        <x:v>16</x:v>
      </x:c>
    </x:row>
    <x:row r="630">
      <x:c r="A630" t="s">
        <x:v>19</x:v>
      </x:c>
      <x:c r="B630">
        <x:v>5.87569229696202E-2</x:v>
      </x:c>
      <x:c r="C630" t="s">
        <x:v>10</x:v>
      </x:c>
      <x:c r="D630" t="s">
        <x:v>21</x:v>
      </x:c>
      <x:c r="E630" t="s">
        <x:v>158</x:v>
      </x:c>
      <x:c r="F630" t="s">
        <x:v>13</x:v>
      </x:c>
      <x:c r="G630" t="s">
        <x:v>14</x:v>
      </x:c>
      <x:c r="I630" t="s">
        <x:v>16</x:v>
      </x:c>
    </x:row>
    <x:row r="631">
      <x:c r="A631" t="s">
        <x:v>20</x:v>
      </x:c>
      <x:c r="B631">
        <x:v>12668917252096</x:v>
      </x:c>
      <x:c r="C631" t="s">
        <x:v>10</x:v>
      </x:c>
      <x:c r="D631" t="s">
        <x:v>21</x:v>
      </x:c>
      <x:c r="E631" t="s">
        <x:v>158</x:v>
      </x:c>
      <x:c r="F631" t="s">
        <x:v>13</x:v>
      </x:c>
      <x:c r="G631" t="s">
        <x:v>14</x:v>
      </x:c>
      <x:c r="I631" t="s">
        <x:v>16</x:v>
      </x:c>
    </x:row>
    <x:row r="632">
      <x:c r="A632" t="s">
        <x:v>9</x:v>
      </x:c>
      <x:c r="B632">
        <x:v>0.68396946578420004</x:v>
      </x:c>
      <x:c r="C632" t="s">
        <x:v>23</x:v>
      </x:c>
      <x:c r="D632" t="s">
        <x:v>21</x:v>
      </x:c>
      <x:c r="E632" t="s">
        <x:v>159</x:v>
      </x:c>
      <x:c r="F632" t="s">
        <x:v>13</x:v>
      </x:c>
      <x:c r="G632" t="s">
        <x:v>14</x:v>
      </x:c>
      <x:c r="I632" t="s">
        <x:v>16</x:v>
      </x:c>
    </x:row>
    <x:row r="633">
      <x:c r="A633" t="s">
        <x:v>17</x:v>
      </x:c>
      <x:c r="B633">
        <x:v>0.41525202989578203</x:v>
      </x:c>
      <x:c r="C633" t="s">
        <x:v>23</x:v>
      </x:c>
      <x:c r="D633" t="s">
        <x:v>21</x:v>
      </x:c>
      <x:c r="E633" t="s">
        <x:v>159</x:v>
      </x:c>
      <x:c r="F633" t="s">
        <x:v>13</x:v>
      </x:c>
      <x:c r="G633" t="s">
        <x:v>14</x:v>
      </x:c>
      <x:c r="I633" t="s">
        <x:v>16</x:v>
      </x:c>
    </x:row>
    <x:row r="634">
      <x:c r="A634" t="s">
        <x:v>18</x:v>
      </x:c>
      <x:c r="B634">
        <x:v>0.45529368519782998</x:v>
      </x:c>
      <x:c r="C634" t="s">
        <x:v>23</x:v>
      </x:c>
      <x:c r="D634" t="s">
        <x:v>21</x:v>
      </x:c>
      <x:c r="E634" t="s">
        <x:v>159</x:v>
      </x:c>
      <x:c r="F634" t="s">
        <x:v>13</x:v>
      </x:c>
      <x:c r="G634" t="s">
        <x:v>14</x:v>
      </x:c>
      <x:c r="I634" t="s">
        <x:v>16</x:v>
      </x:c>
    </x:row>
    <x:row r="635">
      <x:c r="A635" t="s">
        <x:v>19</x:v>
      </x:c>
      <x:c r="B635">
        <x:v>0.67475453699684695</x:v>
      </x:c>
      <x:c r="C635" t="s">
        <x:v>23</x:v>
      </x:c>
      <x:c r="D635" t="s">
        <x:v>21</x:v>
      </x:c>
      <x:c r="E635" t="s">
        <x:v>159</x:v>
      </x:c>
      <x:c r="F635" t="s">
        <x:v>13</x:v>
      </x:c>
      <x:c r="G635" t="s">
        <x:v>14</x:v>
      </x:c>
      <x:c r="I635" t="s">
        <x:v>16</x:v>
      </x:c>
    </x:row>
    <x:row r="636">
      <x:c r="A636" t="s">
        <x:v>20</x:v>
      </x:c>
      <x:c r="B636">
        <x:v>487798561832960</x:v>
      </x:c>
      <x:c r="C636" t="s">
        <x:v>23</x:v>
      </x:c>
      <x:c r="D636" t="s">
        <x:v>21</x:v>
      </x:c>
      <x:c r="E636" t="s">
        <x:v>159</x:v>
      </x:c>
      <x:c r="F636" t="s">
        <x:v>13</x:v>
      </x:c>
      <x:c r="G636" t="s">
        <x:v>14</x:v>
      </x:c>
      <x:c r="I636" t="s">
        <x:v>16</x:v>
      </x:c>
    </x:row>
    <x:row r="637">
      <x:c r="A637" t="s">
        <x:v>9</x:v>
      </x:c>
      <x:c r="B637">
        <x:v>0.68396946578420004</x:v>
      </x:c>
      <x:c r="C637" t="s">
        <x:v>23</x:v>
      </x:c>
      <x:c r="D637" t="s">
        <x:v>11</x:v>
      </x:c>
      <x:c r="E637" t="s">
        <x:v>160</x:v>
      </x:c>
      <x:c r="F637" t="s">
        <x:v>13</x:v>
      </x:c>
      <x:c r="G637" t="s">
        <x:v>14</x:v>
      </x:c>
      <x:c r="I637" t="s">
        <x:v>16</x:v>
      </x:c>
    </x:row>
    <x:row r="638">
      <x:c r="A638" t="s">
        <x:v>17</x:v>
      </x:c>
      <x:c r="B638">
        <x:v>0.41525202989578203</x:v>
      </x:c>
      <x:c r="C638" t="s">
        <x:v>23</x:v>
      </x:c>
      <x:c r="D638" t="s">
        <x:v>11</x:v>
      </x:c>
      <x:c r="E638" t="s">
        <x:v>160</x:v>
      </x:c>
      <x:c r="F638" t="s">
        <x:v>13</x:v>
      </x:c>
      <x:c r="G638" t="s">
        <x:v>14</x:v>
      </x:c>
      <x:c r="I638" t="s">
        <x:v>16</x:v>
      </x:c>
    </x:row>
    <x:row r="639">
      <x:c r="A639" t="s">
        <x:v>18</x:v>
      </x:c>
      <x:c r="B639">
        <x:v>0.45529368519782998</x:v>
      </x:c>
      <x:c r="C639" t="s">
        <x:v>23</x:v>
      </x:c>
      <x:c r="D639" t="s">
        <x:v>11</x:v>
      </x:c>
      <x:c r="E639" t="s">
        <x:v>160</x:v>
      </x:c>
      <x:c r="F639" t="s">
        <x:v>13</x:v>
      </x:c>
      <x:c r="G639" t="s">
        <x:v>14</x:v>
      </x:c>
      <x:c r="I639" t="s">
        <x:v>16</x:v>
      </x:c>
    </x:row>
    <x:row r="640">
      <x:c r="A640" t="s">
        <x:v>19</x:v>
      </x:c>
      <x:c r="B640">
        <x:v>0.67475453699684695</x:v>
      </x:c>
      <x:c r="C640" t="s">
        <x:v>23</x:v>
      </x:c>
      <x:c r="D640" t="s">
        <x:v>11</x:v>
      </x:c>
      <x:c r="E640" t="s">
        <x:v>160</x:v>
      </x:c>
      <x:c r="F640" t="s">
        <x:v>13</x:v>
      </x:c>
      <x:c r="G640" t="s">
        <x:v>14</x:v>
      </x:c>
      <x:c r="I640" t="s">
        <x:v>16</x:v>
      </x:c>
    </x:row>
    <x:row r="641">
      <x:c r="A641" t="s">
        <x:v>20</x:v>
      </x:c>
      <x:c r="B641">
        <x:v>487798561832960</x:v>
      </x:c>
      <x:c r="C641" t="s">
        <x:v>23</x:v>
      </x:c>
      <x:c r="D641" t="s">
        <x:v>11</x:v>
      </x:c>
      <x:c r="E641" t="s">
        <x:v>160</x:v>
      </x:c>
      <x:c r="F641" t="s">
        <x:v>13</x:v>
      </x:c>
      <x:c r="G641" t="s">
        <x:v>14</x:v>
      </x:c>
      <x:c r="I641" t="s">
        <x:v>16</x:v>
      </x:c>
    </x:row>
    <x:row r="642">
      <x:c r="A642" t="s">
        <x:v>9</x:v>
      </x:c>
      <x:c r="B642">
        <x:v>0.90470151049822001</x:v>
      </x:c>
      <x:c r="C642" t="s">
        <x:v>10</x:v>
      </x:c>
      <x:c r="D642" t="s">
        <x:v>11</x:v>
      </x:c>
      <x:c r="E642" t="s">
        <x:v>161</x:v>
      </x:c>
      <x:c r="F642" t="s">
        <x:v>13</x:v>
      </x:c>
      <x:c r="G642" t="s">
        <x:v>14</x:v>
      </x:c>
      <x:c r="I642" t="s">
        <x:v>97</x:v>
      </x:c>
    </x:row>
    <x:row r="643">
      <x:c r="A643" t="s">
        <x:v>17</x:v>
      </x:c>
      <x:c r="B643">
        <x:v>0.26302188634872398</x:v>
      </x:c>
      <x:c r="C643" t="s">
        <x:v>10</x:v>
      </x:c>
      <x:c r="D643" t="s">
        <x:v>11</x:v>
      </x:c>
      <x:c r="E643" t="s">
        <x:v>161</x:v>
      </x:c>
      <x:c r="F643" t="s">
        <x:v>13</x:v>
      </x:c>
      <x:c r="G643" t="s">
        <x:v>14</x:v>
      </x:c>
      <x:c r="I643" t="s">
        <x:v>97</x:v>
      </x:c>
    </x:row>
    <x:row r="644">
      <x:c r="A644" t="s">
        <x:v>18</x:v>
      </x:c>
      <x:c r="B644">
        <x:v>0.134006977081298</x:v>
      </x:c>
      <x:c r="C644" t="s">
        <x:v>10</x:v>
      </x:c>
      <x:c r="D644" t="s">
        <x:v>11</x:v>
      </x:c>
      <x:c r="E644" t="s">
        <x:v>161</x:v>
      </x:c>
      <x:c r="F644" t="s">
        <x:v>13</x:v>
      </x:c>
      <x:c r="G644" t="s">
        <x:v>14</x:v>
      </x:c>
      <x:c r="I644" t="s">
        <x:v>97</x:v>
      </x:c>
    </x:row>
    <x:row r="645">
      <x:c r="A645" t="s">
        <x:v>19</x:v>
      </x:c>
      <x:c r="B645">
        <x:v>0.36606963419723598</x:v>
      </x:c>
      <x:c r="C645" t="s">
        <x:v>10</x:v>
      </x:c>
      <x:c r="D645" t="s">
        <x:v>11</x:v>
      </x:c>
      <x:c r="E645" t="s">
        <x:v>161</x:v>
      </x:c>
      <x:c r="F645" t="s">
        <x:v>13</x:v>
      </x:c>
      <x:c r="G645" t="s">
        <x:v>14</x:v>
      </x:c>
      <x:c r="I645" t="s">
        <x:v>97</x:v>
      </x:c>
    </x:row>
    <x:row r="646">
      <x:c r="A646" t="s">
        <x:v>20</x:v>
      </x:c>
      <x:c r="B646">
        <x:v>28148567638016</x:v>
      </x:c>
      <x:c r="C646" t="s">
        <x:v>10</x:v>
      </x:c>
      <x:c r="D646" t="s">
        <x:v>11</x:v>
      </x:c>
      <x:c r="E646" t="s">
        <x:v>161</x:v>
      </x:c>
      <x:c r="F646" t="s">
        <x:v>13</x:v>
      </x:c>
      <x:c r="G646" t="s">
        <x:v>14</x:v>
      </x:c>
      <x:c r="I646" t="s">
        <x:v>97</x:v>
      </x:c>
    </x:row>
    <x:row r="647">
      <x:c r="A647" t="s">
        <x:v>9</x:v>
      </x:c>
      <x:c r="B647">
        <x:v>0.90470151049822001</x:v>
      </x:c>
      <x:c r="C647" t="s">
        <x:v>10</x:v>
      </x:c>
      <x:c r="D647" t="s">
        <x:v>21</x:v>
      </x:c>
      <x:c r="E647" t="s">
        <x:v>162</x:v>
      </x:c>
      <x:c r="F647" t="s">
        <x:v>13</x:v>
      </x:c>
      <x:c r="G647" t="s">
        <x:v>14</x:v>
      </x:c>
      <x:c r="I647" t="s">
        <x:v>97</x:v>
      </x:c>
    </x:row>
    <x:row r="648">
      <x:c r="A648" t="s">
        <x:v>17</x:v>
      </x:c>
      <x:c r="B648">
        <x:v>0.26302188634872398</x:v>
      </x:c>
      <x:c r="C648" t="s">
        <x:v>10</x:v>
      </x:c>
      <x:c r="D648" t="s">
        <x:v>21</x:v>
      </x:c>
      <x:c r="E648" t="s">
        <x:v>162</x:v>
      </x:c>
      <x:c r="F648" t="s">
        <x:v>13</x:v>
      </x:c>
      <x:c r="G648" t="s">
        <x:v>14</x:v>
      </x:c>
      <x:c r="I648" t="s">
        <x:v>97</x:v>
      </x:c>
    </x:row>
    <x:row r="649">
      <x:c r="A649" t="s">
        <x:v>18</x:v>
      </x:c>
      <x:c r="B649">
        <x:v>0.134006977081298</x:v>
      </x:c>
      <x:c r="C649" t="s">
        <x:v>10</x:v>
      </x:c>
      <x:c r="D649" t="s">
        <x:v>21</x:v>
      </x:c>
      <x:c r="E649" t="s">
        <x:v>162</x:v>
      </x:c>
      <x:c r="F649" t="s">
        <x:v>13</x:v>
      </x:c>
      <x:c r="G649" t="s">
        <x:v>14</x:v>
      </x:c>
      <x:c r="I649" t="s">
        <x:v>97</x:v>
      </x:c>
    </x:row>
    <x:row r="650">
      <x:c r="A650" t="s">
        <x:v>19</x:v>
      </x:c>
      <x:c r="B650">
        <x:v>0.36606963419723598</x:v>
      </x:c>
      <x:c r="C650" t="s">
        <x:v>10</x:v>
      </x:c>
      <x:c r="D650" t="s">
        <x:v>21</x:v>
      </x:c>
      <x:c r="E650" t="s">
        <x:v>162</x:v>
      </x:c>
      <x:c r="F650" t="s">
        <x:v>13</x:v>
      </x:c>
      <x:c r="G650" t="s">
        <x:v>14</x:v>
      </x:c>
      <x:c r="I650" t="s">
        <x:v>97</x:v>
      </x:c>
    </x:row>
    <x:row r="651">
      <x:c r="A651" t="s">
        <x:v>20</x:v>
      </x:c>
      <x:c r="B651">
        <x:v>28148567638016</x:v>
      </x:c>
      <x:c r="C651" t="s">
        <x:v>10</x:v>
      </x:c>
      <x:c r="D651" t="s">
        <x:v>21</x:v>
      </x:c>
      <x:c r="E651" t="s">
        <x:v>162</x:v>
      </x:c>
      <x:c r="F651" t="s">
        <x:v>13</x:v>
      </x:c>
      <x:c r="G651" t="s">
        <x:v>14</x:v>
      </x:c>
      <x:c r="I651" t="s">
        <x:v>97</x:v>
      </x:c>
    </x:row>
    <x:row r="652">
      <x:c r="A652" t="s">
        <x:v>9</x:v>
      </x:c>
      <x:c r="B652">
        <x:v>0.91018717303480701</x:v>
      </x:c>
      <x:c r="C652" t="s">
        <x:v>23</x:v>
      </x:c>
      <x:c r="D652" t="s">
        <x:v>21</x:v>
      </x:c>
      <x:c r="E652" t="s">
        <x:v>163</x:v>
      </x:c>
      <x:c r="F652" t="s">
        <x:v>13</x:v>
      </x:c>
      <x:c r="G652" t="s">
        <x:v>14</x:v>
      </x:c>
      <x:c r="I652" t="s">
        <x:v>97</x:v>
      </x:c>
    </x:row>
    <x:row r="653">
      <x:c r="A653" t="s">
        <x:v>17</x:v>
      </x:c>
      <x:c r="B653">
        <x:v>0.295567035675048</x:v>
      </x:c>
      <x:c r="C653" t="s">
        <x:v>23</x:v>
      </x:c>
      <x:c r="D653" t="s">
        <x:v>21</x:v>
      </x:c>
      <x:c r="E653" t="s">
        <x:v>163</x:v>
      </x:c>
      <x:c r="F653" t="s">
        <x:v>13</x:v>
      </x:c>
      <x:c r="G653" t="s">
        <x:v>14</x:v>
      </x:c>
      <x:c r="I653" t="s">
        <x:v>97</x:v>
      </x:c>
    </x:row>
    <x:row r="654">
      <x:c r="A654" t="s">
        <x:v>18</x:v>
      </x:c>
      <x:c r="B654">
        <x:v>0.22929069399833599</x:v>
      </x:c>
      <x:c r="C654" t="s">
        <x:v>23</x:v>
      </x:c>
      <x:c r="D654" t="s">
        <x:v>21</x:v>
      </x:c>
      <x:c r="E654" t="s">
        <x:v>163</x:v>
      </x:c>
      <x:c r="F654" t="s">
        <x:v>13</x:v>
      </x:c>
      <x:c r="G654" t="s">
        <x:v>14</x:v>
      </x:c>
      <x:c r="I654" t="s">
        <x:v>97</x:v>
      </x:c>
    </x:row>
    <x:row r="655">
      <x:c r="A655" t="s">
        <x:v>19</x:v>
      </x:c>
      <x:c r="B655">
        <x:v>0.47884307867853398</x:v>
      </x:c>
      <x:c r="C655" t="s">
        <x:v>23</x:v>
      </x:c>
      <x:c r="D655" t="s">
        <x:v>21</x:v>
      </x:c>
      <x:c r="E655" t="s">
        <x:v>163</x:v>
      </x:c>
      <x:c r="F655" t="s">
        <x:v>13</x:v>
      </x:c>
      <x:c r="G655" t="s">
        <x:v>14</x:v>
      </x:c>
      <x:c r="I655" t="s">
        <x:v>97</x:v>
      </x:c>
    </x:row>
    <x:row r="656">
      <x:c r="A656" t="s">
        <x:v>20</x:v>
      </x:c>
      <x:c r="B656">
        <x:v>264480764198912</x:v>
      </x:c>
      <x:c r="C656" t="s">
        <x:v>23</x:v>
      </x:c>
      <x:c r="D656" t="s">
        <x:v>21</x:v>
      </x:c>
      <x:c r="E656" t="s">
        <x:v>163</x:v>
      </x:c>
      <x:c r="F656" t="s">
        <x:v>13</x:v>
      </x:c>
      <x:c r="G656" t="s">
        <x:v>14</x:v>
      </x:c>
      <x:c r="I656" t="s">
        <x:v>97</x:v>
      </x:c>
    </x:row>
    <x:row r="657">
      <x:c r="A657" t="s">
        <x:v>9</x:v>
      </x:c>
      <x:c r="B657">
        <x:v>0.91018717303480701</x:v>
      </x:c>
      <x:c r="C657" t="s">
        <x:v>23</x:v>
      </x:c>
      <x:c r="D657" t="s">
        <x:v>11</x:v>
      </x:c>
      <x:c r="E657" t="s">
        <x:v>164</x:v>
      </x:c>
      <x:c r="F657" t="s">
        <x:v>13</x:v>
      </x:c>
      <x:c r="G657" t="s">
        <x:v>14</x:v>
      </x:c>
      <x:c r="I657" t="s">
        <x:v>97</x:v>
      </x:c>
    </x:row>
    <x:row r="658">
      <x:c r="A658" t="s">
        <x:v>17</x:v>
      </x:c>
      <x:c r="B658">
        <x:v>0.295567035675048</x:v>
      </x:c>
      <x:c r="C658" t="s">
        <x:v>23</x:v>
      </x:c>
      <x:c r="D658" t="s">
        <x:v>11</x:v>
      </x:c>
      <x:c r="E658" t="s">
        <x:v>164</x:v>
      </x:c>
      <x:c r="F658" t="s">
        <x:v>13</x:v>
      </x:c>
      <x:c r="G658" t="s">
        <x:v>14</x:v>
      </x:c>
      <x:c r="I658" t="s">
        <x:v>97</x:v>
      </x:c>
    </x:row>
    <x:row r="659">
      <x:c r="A659" t="s">
        <x:v>18</x:v>
      </x:c>
      <x:c r="B659">
        <x:v>0.22929069399833599</x:v>
      </x:c>
      <x:c r="C659" t="s">
        <x:v>23</x:v>
      </x:c>
      <x:c r="D659" t="s">
        <x:v>11</x:v>
      </x:c>
      <x:c r="E659" t="s">
        <x:v>164</x:v>
      </x:c>
      <x:c r="F659" t="s">
        <x:v>13</x:v>
      </x:c>
      <x:c r="G659" t="s">
        <x:v>14</x:v>
      </x:c>
      <x:c r="I659" t="s">
        <x:v>97</x:v>
      </x:c>
    </x:row>
    <x:row r="660">
      <x:c r="A660" t="s">
        <x:v>19</x:v>
      </x:c>
      <x:c r="B660">
        <x:v>0.47884307867853398</x:v>
      </x:c>
      <x:c r="C660" t="s">
        <x:v>23</x:v>
      </x:c>
      <x:c r="D660" t="s">
        <x:v>11</x:v>
      </x:c>
      <x:c r="E660" t="s">
        <x:v>164</x:v>
      </x:c>
      <x:c r="F660" t="s">
        <x:v>13</x:v>
      </x:c>
      <x:c r="G660" t="s">
        <x:v>14</x:v>
      </x:c>
      <x:c r="I660" t="s">
        <x:v>97</x:v>
      </x:c>
    </x:row>
    <x:row r="661">
      <x:c r="A661" t="s">
        <x:v>20</x:v>
      </x:c>
      <x:c r="B661">
        <x:v>264480764198912</x:v>
      </x:c>
      <x:c r="C661" t="s">
        <x:v>23</x:v>
      </x:c>
      <x:c r="D661" t="s">
        <x:v>11</x:v>
      </x:c>
      <x:c r="E661" t="s">
        <x:v>164</x:v>
      </x:c>
      <x:c r="F661" t="s">
        <x:v>13</x:v>
      </x:c>
      <x:c r="G661" t="s">
        <x:v>14</x:v>
      </x:c>
      <x:c r="I661" t="s">
        <x:v>97</x:v>
      </x:c>
    </x:row>
    <x:row r="662">
      <x:c r="A662" t="s">
        <x:v>9</x:v>
      </x:c>
      <x:c r="B662">
        <x:v>0.96830340054216602</x:v>
      </x:c>
      <x:c r="C662" t="s">
        <x:v>10</x:v>
      </x:c>
      <x:c r="D662" t="s">
        <x:v>11</x:v>
      </x:c>
      <x:c r="E662" t="s">
        <x:v>165</x:v>
      </x:c>
      <x:c r="F662" t="s">
        <x:v>13</x:v>
      </x:c>
      <x:c r="G662" t="s">
        <x:v>27</x:v>
      </x:c>
      <x:c r="I662" t="s">
        <x:v>45</x:v>
      </x:c>
    </x:row>
    <x:row r="663">
      <x:c r="A663" t="s">
        <x:v>17</x:v>
      </x:c>
      <x:c r="B663">
        <x:v>4.7689199447631801E-2</x:v>
      </x:c>
      <x:c r="C663" t="s">
        <x:v>10</x:v>
      </x:c>
      <x:c r="D663" t="s">
        <x:v>11</x:v>
      </x:c>
      <x:c r="E663" t="s">
        <x:v>165</x:v>
      </x:c>
      <x:c r="F663" t="s">
        <x:v>13</x:v>
      </x:c>
      <x:c r="G663" t="s">
        <x:v>27</x:v>
      </x:c>
      <x:c r="I663" t="s">
        <x:v>45</x:v>
      </x:c>
    </x:row>
    <x:row r="664">
      <x:c r="A664" t="s">
        <x:v>18</x:v>
      </x:c>
      <x:c r="B664">
        <x:v>9.8374355584382994E-3</x:v>
      </x:c>
      <x:c r="C664" t="s">
        <x:v>10</x:v>
      </x:c>
      <x:c r="D664" t="s">
        <x:v>11</x:v>
      </x:c>
      <x:c r="E664" t="s">
        <x:v>165</x:v>
      </x:c>
      <x:c r="F664" t="s">
        <x:v>13</x:v>
      </x:c>
      <x:c r="G664" t="s">
        <x:v>27</x:v>
      </x:c>
      <x:c r="I664" t="s">
        <x:v>45</x:v>
      </x:c>
    </x:row>
    <x:row r="665">
      <x:c r="A665" t="s">
        <x:v>19</x:v>
      </x:c>
      <x:c r="B665">
        <x:v>9.91838472657635E-2</x:v>
      </x:c>
      <x:c r="C665" t="s">
        <x:v>10</x:v>
      </x:c>
      <x:c r="D665" t="s">
        <x:v>11</x:v>
      </x:c>
      <x:c r="E665" t="s">
        <x:v>165</x:v>
      </x:c>
      <x:c r="F665" t="s">
        <x:v>13</x:v>
      </x:c>
      <x:c r="G665" t="s">
        <x:v>27</x:v>
      </x:c>
      <x:c r="I665" t="s">
        <x:v>45</x:v>
      </x:c>
    </x:row>
    <x:row r="666">
      <x:c r="A666" t="s">
        <x:v>20</x:v>
      </x:c>
      <x:c r="B666">
        <x:v>34091707662336</x:v>
      </x:c>
      <x:c r="C666" t="s">
        <x:v>10</x:v>
      </x:c>
      <x:c r="D666" t="s">
        <x:v>11</x:v>
      </x:c>
      <x:c r="E666" t="s">
        <x:v>165</x:v>
      </x:c>
      <x:c r="F666" t="s">
        <x:v>13</x:v>
      </x:c>
      <x:c r="G666" t="s">
        <x:v>27</x:v>
      </x:c>
      <x:c r="I666" t="s">
        <x:v>45</x:v>
      </x:c>
    </x:row>
    <x:row r="667">
      <x:c r="A667" t="s">
        <x:v>9</x:v>
      </x:c>
      <x:c r="B667">
        <x:v>0.96830340054216602</x:v>
      </x:c>
      <x:c r="C667" t="s">
        <x:v>10</x:v>
      </x:c>
      <x:c r="D667" t="s">
        <x:v>21</x:v>
      </x:c>
      <x:c r="E667" t="s">
        <x:v>166</x:v>
      </x:c>
      <x:c r="F667" t="s">
        <x:v>13</x:v>
      </x:c>
      <x:c r="G667" t="s">
        <x:v>27</x:v>
      </x:c>
      <x:c r="I667" t="s">
        <x:v>45</x:v>
      </x:c>
    </x:row>
    <x:row r="668">
      <x:c r="A668" t="s">
        <x:v>17</x:v>
      </x:c>
      <x:c r="B668">
        <x:v>4.7689199447631801E-2</x:v>
      </x:c>
      <x:c r="C668" t="s">
        <x:v>10</x:v>
      </x:c>
      <x:c r="D668" t="s">
        <x:v>21</x:v>
      </x:c>
      <x:c r="E668" t="s">
        <x:v>166</x:v>
      </x:c>
      <x:c r="F668" t="s">
        <x:v>13</x:v>
      </x:c>
      <x:c r="G668" t="s">
        <x:v>27</x:v>
      </x:c>
      <x:c r="I668" t="s">
        <x:v>45</x:v>
      </x:c>
    </x:row>
    <x:row r="669">
      <x:c r="A669" t="s">
        <x:v>18</x:v>
      </x:c>
      <x:c r="B669">
        <x:v>9.8374355584382994E-3</x:v>
      </x:c>
      <x:c r="C669" t="s">
        <x:v>10</x:v>
      </x:c>
      <x:c r="D669" t="s">
        <x:v>21</x:v>
      </x:c>
      <x:c r="E669" t="s">
        <x:v>166</x:v>
      </x:c>
      <x:c r="F669" t="s">
        <x:v>13</x:v>
      </x:c>
      <x:c r="G669" t="s">
        <x:v>27</x:v>
      </x:c>
      <x:c r="I669" t="s">
        <x:v>45</x:v>
      </x:c>
    </x:row>
    <x:row r="670">
      <x:c r="A670" t="s">
        <x:v>19</x:v>
      </x:c>
      <x:c r="B670">
        <x:v>9.91838472657635E-2</x:v>
      </x:c>
      <x:c r="C670" t="s">
        <x:v>10</x:v>
      </x:c>
      <x:c r="D670" t="s">
        <x:v>21</x:v>
      </x:c>
      <x:c r="E670" t="s">
        <x:v>166</x:v>
      </x:c>
      <x:c r="F670" t="s">
        <x:v>13</x:v>
      </x:c>
      <x:c r="G670" t="s">
        <x:v>27</x:v>
      </x:c>
      <x:c r="I670" t="s">
        <x:v>45</x:v>
      </x:c>
    </x:row>
    <x:row r="671">
      <x:c r="A671" t="s">
        <x:v>20</x:v>
      </x:c>
      <x:c r="B671">
        <x:v>34091707662336</x:v>
      </x:c>
      <x:c r="C671" t="s">
        <x:v>10</x:v>
      </x:c>
      <x:c r="D671" t="s">
        <x:v>21</x:v>
      </x:c>
      <x:c r="E671" t="s">
        <x:v>166</x:v>
      </x:c>
      <x:c r="F671" t="s">
        <x:v>13</x:v>
      </x:c>
      <x:c r="G671" t="s">
        <x:v>27</x:v>
      </x:c>
      <x:c r="I671" t="s">
        <x:v>45</x:v>
      </x:c>
    </x:row>
    <x:row r="672">
      <x:c r="A672" t="s">
        <x:v>9</x:v>
      </x:c>
      <x:c r="B672">
        <x:v>0.89106713126776105</x:v>
      </x:c>
      <x:c r="C672" t="s">
        <x:v>23</x:v>
      </x:c>
      <x:c r="D672" t="s">
        <x:v>21</x:v>
      </x:c>
      <x:c r="E672" t="s">
        <x:v>167</x:v>
      </x:c>
      <x:c r="F672" t="s">
        <x:v>13</x:v>
      </x:c>
      <x:c r="G672" t="s">
        <x:v>27</x:v>
      </x:c>
      <x:c r="I672" t="s">
        <x:v>45</x:v>
      </x:c>
    </x:row>
    <x:row r="673">
      <x:c r="A673" t="s">
        <x:v>17</x:v>
      </x:c>
      <x:c r="B673">
        <x:v>0.28772509098052901</x:v>
      </x:c>
      <x:c r="C673" t="s">
        <x:v>23</x:v>
      </x:c>
      <x:c r="D673" t="s">
        <x:v>21</x:v>
      </x:c>
      <x:c r="E673" t="s">
        <x:v>167</x:v>
      </x:c>
      <x:c r="F673" t="s">
        <x:v>13</x:v>
      </x:c>
      <x:c r="G673" t="s">
        <x:v>27</x:v>
      </x:c>
      <x:c r="I673" t="s">
        <x:v>45</x:v>
      </x:c>
    </x:row>
    <x:row r="674">
      <x:c r="A674" t="s">
        <x:v>18</x:v>
      </x:c>
      <x:c r="B674">
        <x:v>0.18689286708831701</x:v>
      </x:c>
      <x:c r="C674" t="s">
        <x:v>23</x:v>
      </x:c>
      <x:c r="D674" t="s">
        <x:v>21</x:v>
      </x:c>
      <x:c r="E674" t="s">
        <x:v>167</x:v>
      </x:c>
      <x:c r="F674" t="s">
        <x:v>13</x:v>
      </x:c>
      <x:c r="G674" t="s">
        <x:v>27</x:v>
      </x:c>
      <x:c r="I674" t="s">
        <x:v>45</x:v>
      </x:c>
    </x:row>
    <x:row r="675">
      <x:c r="A675" t="s">
        <x:v>19</x:v>
      </x:c>
      <x:c r="B675">
        <x:v>0.43231107675875902</x:v>
      </x:c>
      <x:c r="C675" t="s">
        <x:v>23</x:v>
      </x:c>
      <x:c r="D675" t="s">
        <x:v>21</x:v>
      </x:c>
      <x:c r="E675" t="s">
        <x:v>167</x:v>
      </x:c>
      <x:c r="F675" t="s">
        <x:v>13</x:v>
      </x:c>
      <x:c r="G675" t="s">
        <x:v>27</x:v>
      </x:c>
      <x:c r="I675" t="s">
        <x:v>45</x:v>
      </x:c>
    </x:row>
    <x:row r="676">
      <x:c r="A676" t="s">
        <x:v>20</x:v>
      </x:c>
      <x:c r="B676">
        <x:v>299725366493184</x:v>
      </x:c>
      <x:c r="C676" t="s">
        <x:v>23</x:v>
      </x:c>
      <x:c r="D676" t="s">
        <x:v>21</x:v>
      </x:c>
      <x:c r="E676" t="s">
        <x:v>167</x:v>
      </x:c>
      <x:c r="F676" t="s">
        <x:v>13</x:v>
      </x:c>
      <x:c r="G676" t="s">
        <x:v>27</x:v>
      </x:c>
      <x:c r="I676" t="s">
        <x:v>45</x:v>
      </x:c>
    </x:row>
    <x:row r="677">
      <x:c r="A677" t="s">
        <x:v>9</x:v>
      </x:c>
      <x:c r="B677">
        <x:v>0.89106713126776105</x:v>
      </x:c>
      <x:c r="C677" t="s">
        <x:v>23</x:v>
      </x:c>
      <x:c r="D677" t="s">
        <x:v>11</x:v>
      </x:c>
      <x:c r="E677" t="s">
        <x:v>168</x:v>
      </x:c>
      <x:c r="F677" t="s">
        <x:v>13</x:v>
      </x:c>
      <x:c r="G677" t="s">
        <x:v>27</x:v>
      </x:c>
      <x:c r="I677" t="s">
        <x:v>45</x:v>
      </x:c>
    </x:row>
    <x:row r="678">
      <x:c r="A678" t="s">
        <x:v>17</x:v>
      </x:c>
      <x:c r="B678">
        <x:v>0.28772509098052901</x:v>
      </x:c>
      <x:c r="C678" t="s">
        <x:v>23</x:v>
      </x:c>
      <x:c r="D678" t="s">
        <x:v>11</x:v>
      </x:c>
      <x:c r="E678" t="s">
        <x:v>168</x:v>
      </x:c>
      <x:c r="F678" t="s">
        <x:v>13</x:v>
      </x:c>
      <x:c r="G678" t="s">
        <x:v>27</x:v>
      </x:c>
      <x:c r="I678" t="s">
        <x:v>45</x:v>
      </x:c>
    </x:row>
    <x:row r="679">
      <x:c r="A679" t="s">
        <x:v>18</x:v>
      </x:c>
      <x:c r="B679">
        <x:v>0.18689286708831701</x:v>
      </x:c>
      <x:c r="C679" t="s">
        <x:v>23</x:v>
      </x:c>
      <x:c r="D679" t="s">
        <x:v>11</x:v>
      </x:c>
      <x:c r="E679" t="s">
        <x:v>168</x:v>
      </x:c>
      <x:c r="F679" t="s">
        <x:v>13</x:v>
      </x:c>
      <x:c r="G679" t="s">
        <x:v>27</x:v>
      </x:c>
      <x:c r="I679" t="s">
        <x:v>45</x:v>
      </x:c>
    </x:row>
    <x:row r="680">
      <x:c r="A680" t="s">
        <x:v>19</x:v>
      </x:c>
      <x:c r="B680">
        <x:v>0.43231107675875902</x:v>
      </x:c>
      <x:c r="C680" t="s">
        <x:v>23</x:v>
      </x:c>
      <x:c r="D680" t="s">
        <x:v>11</x:v>
      </x:c>
      <x:c r="E680" t="s">
        <x:v>168</x:v>
      </x:c>
      <x:c r="F680" t="s">
        <x:v>13</x:v>
      </x:c>
      <x:c r="G680" t="s">
        <x:v>27</x:v>
      </x:c>
      <x:c r="I680" t="s">
        <x:v>45</x:v>
      </x:c>
    </x:row>
    <x:row r="681">
      <x:c r="A681" t="s">
        <x:v>20</x:v>
      </x:c>
      <x:c r="B681">
        <x:v>299725366493184</x:v>
      </x:c>
      <x:c r="C681" t="s">
        <x:v>23</x:v>
      </x:c>
      <x:c r="D681" t="s">
        <x:v>11</x:v>
      </x:c>
      <x:c r="E681" t="s">
        <x:v>168</x:v>
      </x:c>
      <x:c r="F681" t="s">
        <x:v>13</x:v>
      </x:c>
      <x:c r="G681" t="s">
        <x:v>27</x:v>
      </x:c>
      <x:c r="I681" t="s">
        <x:v>45</x:v>
      </x:c>
    </x:row>
    <x:row r="682">
      <x:c r="A682" t="s">
        <x:v>9</x:v>
      </x:c>
      <x:c r="B682">
        <x:v>0.88795153958484196</x:v>
      </x:c>
      <x:c r="C682" t="s">
        <x:v>10</x:v>
      </x:c>
      <x:c r="D682" t="s">
        <x:v>11</x:v>
      </x:c>
      <x:c r="E682" t="s">
        <x:v>169</x:v>
      </x:c>
      <x:c r="F682" t="s">
        <x:v>13</x:v>
      </x:c>
      <x:c r="G682" t="s">
        <x:v>14</x:v>
      </x:c>
      <x:c r="I682" t="s">
        <x:v>58</x:v>
      </x:c>
    </x:row>
    <x:row r="683">
      <x:c r="A683" t="s">
        <x:v>17</x:v>
      </x:c>
      <x:c r="B683">
        <x:v>0.34349817037582397</x:v>
      </x:c>
      <x:c r="C683" t="s">
        <x:v>10</x:v>
      </x:c>
      <x:c r="D683" t="s">
        <x:v>11</x:v>
      </x:c>
      <x:c r="E683" t="s">
        <x:v>169</x:v>
      </x:c>
      <x:c r="F683" t="s">
        <x:v>13</x:v>
      </x:c>
      <x:c r="G683" t="s">
        <x:v>14</x:v>
      </x:c>
      <x:c r="I683" t="s">
        <x:v>58</x:v>
      </x:c>
    </x:row>
    <x:row r="684">
      <x:c r="A684" t="s">
        <x:v>18</x:v>
      </x:c>
      <x:c r="B684">
        <x:v>0.20632006227970101</x:v>
      </x:c>
      <x:c r="C684" t="s">
        <x:v>10</x:v>
      </x:c>
      <x:c r="D684" t="s">
        <x:v>11</x:v>
      </x:c>
      <x:c r="E684" t="s">
        <x:v>169</x:v>
      </x:c>
      <x:c r="F684" t="s">
        <x:v>13</x:v>
      </x:c>
      <x:c r="G684" t="s">
        <x:v>14</x:v>
      </x:c>
      <x:c r="I684" t="s">
        <x:v>58</x:v>
      </x:c>
    </x:row>
    <x:row r="685">
      <x:c r="A685" t="s">
        <x:v>19</x:v>
      </x:c>
      <x:c r="B685">
        <x:v>0.45422468259629001</x:v>
      </x:c>
      <x:c r="C685" t="s">
        <x:v>10</x:v>
      </x:c>
      <x:c r="D685" t="s">
        <x:v>11</x:v>
      </x:c>
      <x:c r="E685" t="s">
        <x:v>169</x:v>
      </x:c>
      <x:c r="F685" t="s">
        <x:v>13</x:v>
      </x:c>
      <x:c r="G685" t="s">
        <x:v>14</x:v>
      </x:c>
      <x:c r="I685" t="s">
        <x:v>58</x:v>
      </x:c>
    </x:row>
    <x:row r="686">
      <x:c r="A686" t="s">
        <x:v>20</x:v>
      </x:c>
      <x:c r="B686">
        <x:v>8814315175936</x:v>
      </x:c>
      <x:c r="C686" t="s">
        <x:v>10</x:v>
      </x:c>
      <x:c r="D686" t="s">
        <x:v>11</x:v>
      </x:c>
      <x:c r="E686" t="s">
        <x:v>169</x:v>
      </x:c>
      <x:c r="F686" t="s">
        <x:v>13</x:v>
      </x:c>
      <x:c r="G686" t="s">
        <x:v>14</x:v>
      </x:c>
      <x:c r="I686" t="s">
        <x:v>58</x:v>
      </x:c>
    </x:row>
    <x:row r="687">
      <x:c r="A687" t="s">
        <x:v>9</x:v>
      </x:c>
      <x:c r="B687">
        <x:v>0.88795153958484196</x:v>
      </x:c>
      <x:c r="C687" t="s">
        <x:v>10</x:v>
      </x:c>
      <x:c r="D687" t="s">
        <x:v>21</x:v>
      </x:c>
      <x:c r="E687" t="s">
        <x:v>170</x:v>
      </x:c>
      <x:c r="F687" t="s">
        <x:v>13</x:v>
      </x:c>
      <x:c r="G687" t="s">
        <x:v>14</x:v>
      </x:c>
      <x:c r="I687" t="s">
        <x:v>58</x:v>
      </x:c>
    </x:row>
    <x:row r="688">
      <x:c r="A688" t="s">
        <x:v>17</x:v>
      </x:c>
      <x:c r="B688">
        <x:v>0.34349817037582397</x:v>
      </x:c>
      <x:c r="C688" t="s">
        <x:v>10</x:v>
      </x:c>
      <x:c r="D688" t="s">
        <x:v>21</x:v>
      </x:c>
      <x:c r="E688" t="s">
        <x:v>170</x:v>
      </x:c>
      <x:c r="F688" t="s">
        <x:v>13</x:v>
      </x:c>
      <x:c r="G688" t="s">
        <x:v>14</x:v>
      </x:c>
      <x:c r="I688" t="s">
        <x:v>58</x:v>
      </x:c>
    </x:row>
    <x:row r="689">
      <x:c r="A689" t="s">
        <x:v>18</x:v>
      </x:c>
      <x:c r="B689">
        <x:v>0.20632006227970101</x:v>
      </x:c>
      <x:c r="C689" t="s">
        <x:v>10</x:v>
      </x:c>
      <x:c r="D689" t="s">
        <x:v>21</x:v>
      </x:c>
      <x:c r="E689" t="s">
        <x:v>170</x:v>
      </x:c>
      <x:c r="F689" t="s">
        <x:v>13</x:v>
      </x:c>
      <x:c r="G689" t="s">
        <x:v>14</x:v>
      </x:c>
      <x:c r="I689" t="s">
        <x:v>58</x:v>
      </x:c>
    </x:row>
    <x:row r="690">
      <x:c r="A690" t="s">
        <x:v>19</x:v>
      </x:c>
      <x:c r="B690">
        <x:v>0.45422468259629001</x:v>
      </x:c>
      <x:c r="C690" t="s">
        <x:v>10</x:v>
      </x:c>
      <x:c r="D690" t="s">
        <x:v>21</x:v>
      </x:c>
      <x:c r="E690" t="s">
        <x:v>170</x:v>
      </x:c>
      <x:c r="F690" t="s">
        <x:v>13</x:v>
      </x:c>
      <x:c r="G690" t="s">
        <x:v>14</x:v>
      </x:c>
      <x:c r="I690" t="s">
        <x:v>58</x:v>
      </x:c>
    </x:row>
    <x:row r="691">
      <x:c r="A691" t="s">
        <x:v>20</x:v>
      </x:c>
      <x:c r="B691">
        <x:v>8814315175936</x:v>
      </x:c>
      <x:c r="C691" t="s">
        <x:v>10</x:v>
      </x:c>
      <x:c r="D691" t="s">
        <x:v>21</x:v>
      </x:c>
      <x:c r="E691" t="s">
        <x:v>170</x:v>
      </x:c>
      <x:c r="F691" t="s">
        <x:v>13</x:v>
      </x:c>
      <x:c r="G691" t="s">
        <x:v>14</x:v>
      </x:c>
      <x:c r="I691" t="s">
        <x:v>58</x:v>
      </x:c>
    </x:row>
    <x:row r="692">
      <x:c r="A692" t="s">
        <x:v>9</x:v>
      </x:c>
      <x:c r="B692">
        <x:v>0.89256943285341395</x:v>
      </x:c>
      <x:c r="C692" t="s">
        <x:v>23</x:v>
      </x:c>
      <x:c r="D692" t="s">
        <x:v>21</x:v>
      </x:c>
      <x:c r="E692" t="s">
        <x:v>171</x:v>
      </x:c>
      <x:c r="F692" t="s">
        <x:v>13</x:v>
      </x:c>
      <x:c r="G692" t="s">
        <x:v>14</x:v>
      </x:c>
      <x:c r="I692" t="s">
        <x:v>58</x:v>
      </x:c>
    </x:row>
    <x:row r="693">
      <x:c r="A693" t="s">
        <x:v>17</x:v>
      </x:c>
      <x:c r="B693">
        <x:v>0.33731183409690801</x:v>
      </x:c>
      <x:c r="C693" t="s">
        <x:v>23</x:v>
      </x:c>
      <x:c r="D693" t="s">
        <x:v>21</x:v>
      </x:c>
      <x:c r="E693" t="s">
        <x:v>171</x:v>
      </x:c>
      <x:c r="F693" t="s">
        <x:v>13</x:v>
      </x:c>
      <x:c r="G693" t="s">
        <x:v>14</x:v>
      </x:c>
      <x:c r="I693" t="s">
        <x:v>58</x:v>
      </x:c>
    </x:row>
    <x:row r="694">
      <x:c r="A694" t="s">
        <x:v>18</x:v>
      </x:c>
      <x:c r="B694">
        <x:v>0.25676280260085999</x:v>
      </x:c>
      <x:c r="C694" t="s">
        <x:v>23</x:v>
      </x:c>
      <x:c r="D694" t="s">
        <x:v>21</x:v>
      </x:c>
      <x:c r="E694" t="s">
        <x:v>171</x:v>
      </x:c>
      <x:c r="F694" t="s">
        <x:v>13</x:v>
      </x:c>
      <x:c r="G694" t="s">
        <x:v>14</x:v>
      </x:c>
      <x:c r="I694" t="s">
        <x:v>58</x:v>
      </x:c>
    </x:row>
    <x:row r="695">
      <x:c r="A695" t="s">
        <x:v>19</x:v>
      </x:c>
      <x:c r="B695">
        <x:v>0.50671767543757595</x:v>
      </x:c>
      <x:c r="C695" t="s">
        <x:v>23</x:v>
      </x:c>
      <x:c r="D695" t="s">
        <x:v>21</x:v>
      </x:c>
      <x:c r="E695" t="s">
        <x:v>171</x:v>
      </x:c>
      <x:c r="F695" t="s">
        <x:v>13</x:v>
      </x:c>
      <x:c r="G695" t="s">
        <x:v>14</x:v>
      </x:c>
      <x:c r="I695" t="s">
        <x:v>58</x:v>
      </x:c>
    </x:row>
    <x:row r="696">
      <x:c r="A696" t="s">
        <x:v>20</x:v>
      </x:c>
      <x:c r="B696">
        <x:v>416311951753216</x:v>
      </x:c>
      <x:c r="C696" t="s">
        <x:v>23</x:v>
      </x:c>
      <x:c r="D696" t="s">
        <x:v>21</x:v>
      </x:c>
      <x:c r="E696" t="s">
        <x:v>171</x:v>
      </x:c>
      <x:c r="F696" t="s">
        <x:v>13</x:v>
      </x:c>
      <x:c r="G696" t="s">
        <x:v>14</x:v>
      </x:c>
      <x:c r="I696" t="s">
        <x:v>58</x:v>
      </x:c>
    </x:row>
    <x:row r="697">
      <x:c r="A697" t="s">
        <x:v>9</x:v>
      </x:c>
      <x:c r="B697">
        <x:v>0.89256943285341395</x:v>
      </x:c>
      <x:c r="C697" t="s">
        <x:v>23</x:v>
      </x:c>
      <x:c r="D697" t="s">
        <x:v>11</x:v>
      </x:c>
      <x:c r="E697" t="s">
        <x:v>172</x:v>
      </x:c>
      <x:c r="F697" t="s">
        <x:v>13</x:v>
      </x:c>
      <x:c r="G697" t="s">
        <x:v>14</x:v>
      </x:c>
      <x:c r="I697" t="s">
        <x:v>58</x:v>
      </x:c>
    </x:row>
    <x:row r="698">
      <x:c r="A698" t="s">
        <x:v>17</x:v>
      </x:c>
      <x:c r="B698">
        <x:v>0.33731183409690801</x:v>
      </x:c>
      <x:c r="C698" t="s">
        <x:v>23</x:v>
      </x:c>
      <x:c r="D698" t="s">
        <x:v>11</x:v>
      </x:c>
      <x:c r="E698" t="s">
        <x:v>172</x:v>
      </x:c>
      <x:c r="F698" t="s">
        <x:v>13</x:v>
      </x:c>
      <x:c r="G698" t="s">
        <x:v>14</x:v>
      </x:c>
      <x:c r="I698" t="s">
        <x:v>58</x:v>
      </x:c>
    </x:row>
    <x:row r="699">
      <x:c r="A699" t="s">
        <x:v>18</x:v>
      </x:c>
      <x:c r="B699">
        <x:v>0.25676280260085999</x:v>
      </x:c>
      <x:c r="C699" t="s">
        <x:v>23</x:v>
      </x:c>
      <x:c r="D699" t="s">
        <x:v>11</x:v>
      </x:c>
      <x:c r="E699" t="s">
        <x:v>172</x:v>
      </x:c>
      <x:c r="F699" t="s">
        <x:v>13</x:v>
      </x:c>
      <x:c r="G699" t="s">
        <x:v>14</x:v>
      </x:c>
      <x:c r="I699" t="s">
        <x:v>58</x:v>
      </x:c>
    </x:row>
    <x:row r="700">
      <x:c r="A700" t="s">
        <x:v>19</x:v>
      </x:c>
      <x:c r="B700">
        <x:v>0.50671767543757595</x:v>
      </x:c>
      <x:c r="C700" t="s">
        <x:v>23</x:v>
      </x:c>
      <x:c r="D700" t="s">
        <x:v>11</x:v>
      </x:c>
      <x:c r="E700" t="s">
        <x:v>172</x:v>
      </x:c>
      <x:c r="F700" t="s">
        <x:v>13</x:v>
      </x:c>
      <x:c r="G700" t="s">
        <x:v>14</x:v>
      </x:c>
      <x:c r="I700" t="s">
        <x:v>58</x:v>
      </x:c>
    </x:row>
    <x:row r="701">
      <x:c r="A701" t="s">
        <x:v>20</x:v>
      </x:c>
      <x:c r="B701">
        <x:v>416311951753216</x:v>
      </x:c>
      <x:c r="C701" t="s">
        <x:v>23</x:v>
      </x:c>
      <x:c r="D701" t="s">
        <x:v>11</x:v>
      </x:c>
      <x:c r="E701" t="s">
        <x:v>172</x:v>
      </x:c>
      <x:c r="F701" t="s">
        <x:v>13</x:v>
      </x:c>
      <x:c r="G701" t="s">
        <x:v>14</x:v>
      </x:c>
      <x:c r="I701" t="s">
        <x:v>58</x:v>
      </x:c>
    </x:row>
    <x:row r="702">
      <x:c r="A702" t="s">
        <x:v>9</x:v>
      </x:c>
      <x:c r="B702">
        <x:v>0.841570372269553</x:v>
      </x:c>
      <x:c r="C702" t="s">
        <x:v>10</x:v>
      </x:c>
      <x:c r="D702" t="s">
        <x:v>11</x:v>
      </x:c>
      <x:c r="E702" t="s">
        <x:v>173</x:v>
      </x:c>
      <x:c r="F702" t="s">
        <x:v>33</x:v>
      </x:c>
      <x:c r="G702" t="s">
        <x:v>14</x:v>
      </x:c>
      <x:c r="I702" t="s">
        <x:v>28</x:v>
      </x:c>
    </x:row>
    <x:row r="703">
      <x:c r="A703" t="s">
        <x:v>17</x:v>
      </x:c>
      <x:c r="B703">
        <x:v>0.57407575845718295</x:v>
      </x:c>
      <x:c r="C703" t="s">
        <x:v>10</x:v>
      </x:c>
      <x:c r="D703" t="s">
        <x:v>11</x:v>
      </x:c>
      <x:c r="E703" t="s">
        <x:v>173</x:v>
      </x:c>
      <x:c r="F703" t="s">
        <x:v>33</x:v>
      </x:c>
      <x:c r="G703" t="s">
        <x:v>14</x:v>
      </x:c>
      <x:c r="I703" t="s">
        <x:v>28</x:v>
      </x:c>
    </x:row>
    <x:row r="704">
      <x:c r="A704" t="s">
        <x:v>18</x:v>
      </x:c>
      <x:c r="B704">
        <x:v>0.56322658061981201</x:v>
      </x:c>
      <x:c r="C704" t="s">
        <x:v>10</x:v>
      </x:c>
      <x:c r="D704" t="s">
        <x:v>11</x:v>
      </x:c>
      <x:c r="E704" t="s">
        <x:v>173</x:v>
      </x:c>
      <x:c r="F704" t="s">
        <x:v>33</x:v>
      </x:c>
      <x:c r="G704" t="s">
        <x:v>14</x:v>
      </x:c>
      <x:c r="I704" t="s">
        <x:v>28</x:v>
      </x:c>
    </x:row>
    <x:row r="705">
      <x:c r="A705" t="s">
        <x:v>19</x:v>
      </x:c>
      <x:c r="B705">
        <x:v>0.75048423076025506</x:v>
      </x:c>
      <x:c r="C705" t="s">
        <x:v>10</x:v>
      </x:c>
      <x:c r="D705" t="s">
        <x:v>11</x:v>
      </x:c>
      <x:c r="E705" t="s">
        <x:v>173</x:v>
      </x:c>
      <x:c r="F705" t="s">
        <x:v>33</x:v>
      </x:c>
      <x:c r="G705" t="s">
        <x:v>14</x:v>
      </x:c>
      <x:c r="I705" t="s">
        <x:v>28</x:v>
      </x:c>
    </x:row>
    <x:row r="706">
      <x:c r="A706" t="s">
        <x:v>20</x:v>
      </x:c>
      <x:c r="B706">
        <x:v>2207703629824</x:v>
      </x:c>
      <x:c r="C706" t="s">
        <x:v>10</x:v>
      </x:c>
      <x:c r="D706" t="s">
        <x:v>11</x:v>
      </x:c>
      <x:c r="E706" t="s">
        <x:v>173</x:v>
      </x:c>
      <x:c r="F706" t="s">
        <x:v>33</x:v>
      </x:c>
      <x:c r="G706" t="s">
        <x:v>14</x:v>
      </x:c>
      <x:c r="I706" t="s">
        <x:v>28</x:v>
      </x:c>
    </x:row>
    <x:row r="707">
      <x:c r="A707" t="s">
        <x:v>9</x:v>
      </x:c>
      <x:c r="B707">
        <x:v>0.841570372269553</x:v>
      </x:c>
      <x:c r="C707" t="s">
        <x:v>10</x:v>
      </x:c>
      <x:c r="D707" t="s">
        <x:v>21</x:v>
      </x:c>
      <x:c r="E707" t="s">
        <x:v>174</x:v>
      </x:c>
      <x:c r="F707" t="s">
        <x:v>33</x:v>
      </x:c>
      <x:c r="G707" t="s">
        <x:v>14</x:v>
      </x:c>
      <x:c r="I707" t="s">
        <x:v>28</x:v>
      </x:c>
    </x:row>
    <x:row r="708">
      <x:c r="A708" t="s">
        <x:v>17</x:v>
      </x:c>
      <x:c r="B708">
        <x:v>0.57407575845718295</x:v>
      </x:c>
      <x:c r="C708" t="s">
        <x:v>10</x:v>
      </x:c>
      <x:c r="D708" t="s">
        <x:v>21</x:v>
      </x:c>
      <x:c r="E708" t="s">
        <x:v>174</x:v>
      </x:c>
      <x:c r="F708" t="s">
        <x:v>33</x:v>
      </x:c>
      <x:c r="G708" t="s">
        <x:v>14</x:v>
      </x:c>
      <x:c r="I708" t="s">
        <x:v>28</x:v>
      </x:c>
    </x:row>
    <x:row r="709">
      <x:c r="A709" t="s">
        <x:v>18</x:v>
      </x:c>
      <x:c r="B709">
        <x:v>0.56322658061981201</x:v>
      </x:c>
      <x:c r="C709" t="s">
        <x:v>10</x:v>
      </x:c>
      <x:c r="D709" t="s">
        <x:v>21</x:v>
      </x:c>
      <x:c r="E709" t="s">
        <x:v>174</x:v>
      </x:c>
      <x:c r="F709" t="s">
        <x:v>33</x:v>
      </x:c>
      <x:c r="G709" t="s">
        <x:v>14</x:v>
      </x:c>
      <x:c r="I709" t="s">
        <x:v>28</x:v>
      </x:c>
    </x:row>
    <x:row r="710">
      <x:c r="A710" t="s">
        <x:v>19</x:v>
      </x:c>
      <x:c r="B710">
        <x:v>0.75048423076025506</x:v>
      </x:c>
      <x:c r="C710" t="s">
        <x:v>10</x:v>
      </x:c>
      <x:c r="D710" t="s">
        <x:v>21</x:v>
      </x:c>
      <x:c r="E710" t="s">
        <x:v>174</x:v>
      </x:c>
      <x:c r="F710" t="s">
        <x:v>33</x:v>
      </x:c>
      <x:c r="G710" t="s">
        <x:v>14</x:v>
      </x:c>
      <x:c r="I710" t="s">
        <x:v>28</x:v>
      </x:c>
    </x:row>
    <x:row r="711">
      <x:c r="A711" t="s">
        <x:v>20</x:v>
      </x:c>
      <x:c r="B711">
        <x:v>2207703629824</x:v>
      </x:c>
      <x:c r="C711" t="s">
        <x:v>10</x:v>
      </x:c>
      <x:c r="D711" t="s">
        <x:v>21</x:v>
      </x:c>
      <x:c r="E711" t="s">
        <x:v>174</x:v>
      </x:c>
      <x:c r="F711" t="s">
        <x:v>33</x:v>
      </x:c>
      <x:c r="G711" t="s">
        <x:v>14</x:v>
      </x:c>
      <x:c r="I711" t="s">
        <x:v>28</x:v>
      </x:c>
    </x:row>
    <x:row r="712">
      <x:c r="A712" t="s">
        <x:v>9</x:v>
      </x:c>
      <x:c r="B712">
        <x:v>0.84270647854444103</x:v>
      </x:c>
      <x:c r="C712" t="s">
        <x:v>23</x:v>
      </x:c>
      <x:c r="D712" t="s">
        <x:v>21</x:v>
      </x:c>
      <x:c r="E712" t="s">
        <x:v>175</x:v>
      </x:c>
      <x:c r="F712" t="s">
        <x:v>33</x:v>
      </x:c>
      <x:c r="G712" t="s">
        <x:v>14</x:v>
      </x:c>
      <x:c r="I712" t="s">
        <x:v>28</x:v>
      </x:c>
    </x:row>
    <x:row r="713">
      <x:c r="A713" t="s">
        <x:v>17</x:v>
      </x:c>
      <x:c r="B713">
        <x:v>0.56274461746215798</x:v>
      </x:c>
      <x:c r="C713" t="s">
        <x:v>23</x:v>
      </x:c>
      <x:c r="D713" t="s">
        <x:v>21</x:v>
      </x:c>
      <x:c r="E713" t="s">
        <x:v>175</x:v>
      </x:c>
      <x:c r="F713" t="s">
        <x:v>33</x:v>
      </x:c>
      <x:c r="G713" t="s">
        <x:v>14</x:v>
      </x:c>
      <x:c r="I713" t="s">
        <x:v>28</x:v>
      </x:c>
    </x:row>
    <x:row r="714">
      <x:c r="A714" t="s">
        <x:v>18</x:v>
      </x:c>
      <x:c r="B714">
        <x:v>0.64297795295715299</x:v>
      </x:c>
      <x:c r="C714" t="s">
        <x:v>23</x:v>
      </x:c>
      <x:c r="D714" t="s">
        <x:v>21</x:v>
      </x:c>
      <x:c r="E714" t="s">
        <x:v>175</x:v>
      </x:c>
      <x:c r="F714" t="s">
        <x:v>33</x:v>
      </x:c>
      <x:c r="G714" t="s">
        <x:v>14</x:v>
      </x:c>
      <x:c r="I714" t="s">
        <x:v>28</x:v>
      </x:c>
    </x:row>
    <x:row r="715">
      <x:c r="A715" t="s">
        <x:v>19</x:v>
      </x:c>
      <x:c r="B715">
        <x:v>0.80185906053193201</x:v>
      </x:c>
      <x:c r="C715" t="s">
        <x:v>23</x:v>
      </x:c>
      <x:c r="D715" t="s">
        <x:v>21</x:v>
      </x:c>
      <x:c r="E715" t="s">
        <x:v>175</x:v>
      </x:c>
      <x:c r="F715" t="s">
        <x:v>33</x:v>
      </x:c>
      <x:c r="G715" t="s">
        <x:v>14</x:v>
      </x:c>
      <x:c r="I715" t="s">
        <x:v>28</x:v>
      </x:c>
    </x:row>
    <x:row r="716">
      <x:c r="A716" t="s">
        <x:v>20</x:v>
      </x:c>
      <x:c r="B716">
        <x:v>268995680796672</x:v>
      </x:c>
      <x:c r="C716" t="s">
        <x:v>23</x:v>
      </x:c>
      <x:c r="D716" t="s">
        <x:v>21</x:v>
      </x:c>
      <x:c r="E716" t="s">
        <x:v>175</x:v>
      </x:c>
      <x:c r="F716" t="s">
        <x:v>33</x:v>
      </x:c>
      <x:c r="G716" t="s">
        <x:v>14</x:v>
      </x:c>
      <x:c r="I716" t="s">
        <x:v>28</x:v>
      </x:c>
    </x:row>
    <x:row r="717">
      <x:c r="A717" t="s">
        <x:v>9</x:v>
      </x:c>
      <x:c r="B717">
        <x:v>0.84270647854444103</x:v>
      </x:c>
      <x:c r="C717" t="s">
        <x:v>23</x:v>
      </x:c>
      <x:c r="D717" t="s">
        <x:v>11</x:v>
      </x:c>
      <x:c r="E717" t="s">
        <x:v>176</x:v>
      </x:c>
      <x:c r="F717" t="s">
        <x:v>33</x:v>
      </x:c>
      <x:c r="G717" t="s">
        <x:v>14</x:v>
      </x:c>
      <x:c r="I717" t="s">
        <x:v>28</x:v>
      </x:c>
    </x:row>
    <x:row r="718">
      <x:c r="A718" t="s">
        <x:v>17</x:v>
      </x:c>
      <x:c r="B718">
        <x:v>0.56274461746215798</x:v>
      </x:c>
      <x:c r="C718" t="s">
        <x:v>23</x:v>
      </x:c>
      <x:c r="D718" t="s">
        <x:v>11</x:v>
      </x:c>
      <x:c r="E718" t="s">
        <x:v>176</x:v>
      </x:c>
      <x:c r="F718" t="s">
        <x:v>33</x:v>
      </x:c>
      <x:c r="G718" t="s">
        <x:v>14</x:v>
      </x:c>
      <x:c r="I718" t="s">
        <x:v>28</x:v>
      </x:c>
    </x:row>
    <x:row r="719">
      <x:c r="A719" t="s">
        <x:v>18</x:v>
      </x:c>
      <x:c r="B719">
        <x:v>0.64297795295715299</x:v>
      </x:c>
      <x:c r="C719" t="s">
        <x:v>23</x:v>
      </x:c>
      <x:c r="D719" t="s">
        <x:v>11</x:v>
      </x:c>
      <x:c r="E719" t="s">
        <x:v>176</x:v>
      </x:c>
      <x:c r="F719" t="s">
        <x:v>33</x:v>
      </x:c>
      <x:c r="G719" t="s">
        <x:v>14</x:v>
      </x:c>
      <x:c r="I719" t="s">
        <x:v>28</x:v>
      </x:c>
    </x:row>
    <x:row r="720">
      <x:c r="A720" t="s">
        <x:v>19</x:v>
      </x:c>
      <x:c r="B720">
        <x:v>0.80185906053193201</x:v>
      </x:c>
      <x:c r="C720" t="s">
        <x:v>23</x:v>
      </x:c>
      <x:c r="D720" t="s">
        <x:v>11</x:v>
      </x:c>
      <x:c r="E720" t="s">
        <x:v>176</x:v>
      </x:c>
      <x:c r="F720" t="s">
        <x:v>33</x:v>
      </x:c>
      <x:c r="G720" t="s">
        <x:v>14</x:v>
      </x:c>
      <x:c r="I720" t="s">
        <x:v>28</x:v>
      </x:c>
    </x:row>
    <x:row r="721">
      <x:c r="A721" t="s">
        <x:v>20</x:v>
      </x:c>
      <x:c r="B721">
        <x:v>268995680796672</x:v>
      </x:c>
      <x:c r="C721" t="s">
        <x:v>23</x:v>
      </x:c>
      <x:c r="D721" t="s">
        <x:v>11</x:v>
      </x:c>
      <x:c r="E721" t="s">
        <x:v>176</x:v>
      </x:c>
      <x:c r="F721" t="s">
        <x:v>33</x:v>
      </x:c>
      <x:c r="G721" t="s">
        <x:v>14</x:v>
      </x:c>
      <x:c r="I721" t="s">
        <x:v>28</x:v>
      </x:c>
    </x:row>
    <x:row r="722">
      <x:c r="A722" t="s">
        <x:v>9</x:v>
      </x:c>
      <x:c r="B722">
        <x:v>0.880362693458415</x:v>
      </x:c>
      <x:c r="C722" t="s">
        <x:v>10</x:v>
      </x:c>
      <x:c r="D722" t="s">
        <x:v>11</x:v>
      </x:c>
      <x:c r="E722" t="s">
        <x:v>177</x:v>
      </x:c>
      <x:c r="F722" t="s">
        <x:v>13</x:v>
      </x:c>
      <x:c r="G722" t="s">
        <x:v>14</x:v>
      </x:c>
      <x:c r="I722" t="s">
        <x:v>28</x:v>
      </x:c>
    </x:row>
    <x:row r="723">
      <x:c r="A723" t="s">
        <x:v>17</x:v>
      </x:c>
      <x:c r="B723">
        <x:v>0.332190811634063</x:v>
      </x:c>
      <x:c r="C723" t="s">
        <x:v>10</x:v>
      </x:c>
      <x:c r="D723" t="s">
        <x:v>11</x:v>
      </x:c>
      <x:c r="E723" t="s">
        <x:v>177</x:v>
      </x:c>
      <x:c r="F723" t="s">
        <x:v>13</x:v>
      </x:c>
      <x:c r="G723" t="s">
        <x:v>14</x:v>
      </x:c>
      <x:c r="I723" t="s">
        <x:v>28</x:v>
      </x:c>
    </x:row>
    <x:row r="724">
      <x:c r="A724" t="s">
        <x:v>18</x:v>
      </x:c>
      <x:c r="B724">
        <x:v>0.198054835200309</x:v>
      </x:c>
      <x:c r="C724" t="s">
        <x:v>10</x:v>
      </x:c>
      <x:c r="D724" t="s">
        <x:v>11</x:v>
      </x:c>
      <x:c r="E724" t="s">
        <x:v>177</x:v>
      </x:c>
      <x:c r="F724" t="s">
        <x:v>13</x:v>
      </x:c>
      <x:c r="G724" t="s">
        <x:v>14</x:v>
      </x:c>
      <x:c r="I724" t="s">
        <x:v>28</x:v>
      </x:c>
    </x:row>
    <x:row r="725">
      <x:c r="A725" t="s">
        <x:v>19</x:v>
      </x:c>
      <x:c r="B725">
        <x:v>0.445033521434408</x:v>
      </x:c>
      <x:c r="C725" t="s">
        <x:v>10</x:v>
      </x:c>
      <x:c r="D725" t="s">
        <x:v>11</x:v>
      </x:c>
      <x:c r="E725" t="s">
        <x:v>177</x:v>
      </x:c>
      <x:c r="F725" t="s">
        <x:v>13</x:v>
      </x:c>
      <x:c r="G725" t="s">
        <x:v>14</x:v>
      </x:c>
      <x:c r="I725" t="s">
        <x:v>28</x:v>
      </x:c>
    </x:row>
    <x:row r="726">
      <x:c r="A726" t="s">
        <x:v>20</x:v>
      </x:c>
      <x:c r="B726">
        <x:v>16661624127488</x:v>
      </x:c>
      <x:c r="C726" t="s">
        <x:v>10</x:v>
      </x:c>
      <x:c r="D726" t="s">
        <x:v>11</x:v>
      </x:c>
      <x:c r="E726" t="s">
        <x:v>177</x:v>
      </x:c>
      <x:c r="F726" t="s">
        <x:v>13</x:v>
      </x:c>
      <x:c r="G726" t="s">
        <x:v>14</x:v>
      </x:c>
      <x:c r="I726" t="s">
        <x:v>28</x:v>
      </x:c>
    </x:row>
    <x:row r="727">
      <x:c r="A727" t="s">
        <x:v>9</x:v>
      </x:c>
      <x:c r="B727">
        <x:v>0.880362693458415</x:v>
      </x:c>
      <x:c r="C727" t="s">
        <x:v>10</x:v>
      </x:c>
      <x:c r="D727" t="s">
        <x:v>21</x:v>
      </x:c>
      <x:c r="E727" t="s">
        <x:v>178</x:v>
      </x:c>
      <x:c r="F727" t="s">
        <x:v>13</x:v>
      </x:c>
      <x:c r="G727" t="s">
        <x:v>14</x:v>
      </x:c>
      <x:c r="I727" t="s">
        <x:v>28</x:v>
      </x:c>
    </x:row>
    <x:row r="728">
      <x:c r="A728" t="s">
        <x:v>17</x:v>
      </x:c>
      <x:c r="B728">
        <x:v>0.332190811634063</x:v>
      </x:c>
      <x:c r="C728" t="s">
        <x:v>10</x:v>
      </x:c>
      <x:c r="D728" t="s">
        <x:v>21</x:v>
      </x:c>
      <x:c r="E728" t="s">
        <x:v>178</x:v>
      </x:c>
      <x:c r="F728" t="s">
        <x:v>13</x:v>
      </x:c>
      <x:c r="G728" t="s">
        <x:v>14</x:v>
      </x:c>
      <x:c r="I728" t="s">
        <x:v>28</x:v>
      </x:c>
    </x:row>
    <x:row r="729">
      <x:c r="A729" t="s">
        <x:v>18</x:v>
      </x:c>
      <x:c r="B729">
        <x:v>0.198054835200309</x:v>
      </x:c>
      <x:c r="C729" t="s">
        <x:v>10</x:v>
      </x:c>
      <x:c r="D729" t="s">
        <x:v>21</x:v>
      </x:c>
      <x:c r="E729" t="s">
        <x:v>178</x:v>
      </x:c>
      <x:c r="F729" t="s">
        <x:v>13</x:v>
      </x:c>
      <x:c r="G729" t="s">
        <x:v>14</x:v>
      </x:c>
      <x:c r="I729" t="s">
        <x:v>28</x:v>
      </x:c>
    </x:row>
    <x:row r="730">
      <x:c r="A730" t="s">
        <x:v>19</x:v>
      </x:c>
      <x:c r="B730">
        <x:v>0.445033521434408</x:v>
      </x:c>
      <x:c r="C730" t="s">
        <x:v>10</x:v>
      </x:c>
      <x:c r="D730" t="s">
        <x:v>21</x:v>
      </x:c>
      <x:c r="E730" t="s">
        <x:v>178</x:v>
      </x:c>
      <x:c r="F730" t="s">
        <x:v>13</x:v>
      </x:c>
      <x:c r="G730" t="s">
        <x:v>14</x:v>
      </x:c>
      <x:c r="I730" t="s">
        <x:v>28</x:v>
      </x:c>
    </x:row>
    <x:row r="731">
      <x:c r="A731" t="s">
        <x:v>20</x:v>
      </x:c>
      <x:c r="B731">
        <x:v>16661624127488</x:v>
      </x:c>
      <x:c r="C731" t="s">
        <x:v>10</x:v>
      </x:c>
      <x:c r="D731" t="s">
        <x:v>21</x:v>
      </x:c>
      <x:c r="E731" t="s">
        <x:v>178</x:v>
      </x:c>
      <x:c r="F731" t="s">
        <x:v>13</x:v>
      </x:c>
      <x:c r="G731" t="s">
        <x:v>14</x:v>
      </x:c>
      <x:c r="I731" t="s">
        <x:v>28</x:v>
      </x:c>
    </x:row>
    <x:row r="732">
      <x:c r="A732" t="s">
        <x:v>9</x:v>
      </x:c>
      <x:c r="B732">
        <x:v>0.89943333185098795</x:v>
      </x:c>
      <x:c r="C732" t="s">
        <x:v>23</x:v>
      </x:c>
      <x:c r="D732" t="s">
        <x:v>21</x:v>
      </x:c>
      <x:c r="E732" t="s">
        <x:v>179</x:v>
      </x:c>
      <x:c r="F732" t="s">
        <x:v>13</x:v>
      </x:c>
      <x:c r="G732" t="s">
        <x:v>14</x:v>
      </x:c>
      <x:c r="I732" t="s">
        <x:v>28</x:v>
      </x:c>
    </x:row>
    <x:row r="733">
      <x:c r="A733" t="s">
        <x:v>17</x:v>
      </x:c>
      <x:c r="B733">
        <x:v>0.33806091547012301</x:v>
      </x:c>
      <x:c r="C733" t="s">
        <x:v>23</x:v>
      </x:c>
      <x:c r="D733" t="s">
        <x:v>21</x:v>
      </x:c>
      <x:c r="E733" t="s">
        <x:v>179</x:v>
      </x:c>
      <x:c r="F733" t="s">
        <x:v>13</x:v>
      </x:c>
      <x:c r="G733" t="s">
        <x:v>14</x:v>
      </x:c>
      <x:c r="I733" t="s">
        <x:v>28</x:v>
      </x:c>
    </x:row>
    <x:row r="734">
      <x:c r="A734" t="s">
        <x:v>18</x:v>
      </x:c>
      <x:c r="B734">
        <x:v>0.31967195868492099</x:v>
      </x:c>
      <x:c r="C734" t="s">
        <x:v>23</x:v>
      </x:c>
      <x:c r="D734" t="s">
        <x:v>21</x:v>
      </x:c>
      <x:c r="E734" t="s">
        <x:v>179</x:v>
      </x:c>
      <x:c r="F734" t="s">
        <x:v>13</x:v>
      </x:c>
      <x:c r="G734" t="s">
        <x:v>14</x:v>
      </x:c>
      <x:c r="I734" t="s">
        <x:v>28</x:v>
      </x:c>
    </x:row>
    <x:row r="735">
      <x:c r="A735" t="s">
        <x:v>19</x:v>
      </x:c>
      <x:c r="B735">
        <x:v>0.56539540030400004</x:v>
      </x:c>
      <x:c r="C735" t="s">
        <x:v>23</x:v>
      </x:c>
      <x:c r="D735" t="s">
        <x:v>21</x:v>
      </x:c>
      <x:c r="E735" t="s">
        <x:v>179</x:v>
      </x:c>
      <x:c r="F735" t="s">
        <x:v>13</x:v>
      </x:c>
      <x:c r="G735" t="s">
        <x:v>14</x:v>
      </x:c>
      <x:c r="I735" t="s">
        <x:v>28</x:v>
      </x:c>
    </x:row>
    <x:row r="736">
      <x:c r="A736" t="s">
        <x:v>20</x:v>
      </x:c>
      <x:c r="B736">
        <x:v>211373980123136</x:v>
      </x:c>
      <x:c r="C736" t="s">
        <x:v>23</x:v>
      </x:c>
      <x:c r="D736" t="s">
        <x:v>21</x:v>
      </x:c>
      <x:c r="E736" t="s">
        <x:v>179</x:v>
      </x:c>
      <x:c r="F736" t="s">
        <x:v>13</x:v>
      </x:c>
      <x:c r="G736" t="s">
        <x:v>14</x:v>
      </x:c>
      <x:c r="I736" t="s">
        <x:v>28</x:v>
      </x:c>
    </x:row>
    <x:row r="737">
      <x:c r="A737" t="s">
        <x:v>9</x:v>
      </x:c>
      <x:c r="B737">
        <x:v>0.89943333185098795</x:v>
      </x:c>
      <x:c r="C737" t="s">
        <x:v>23</x:v>
      </x:c>
      <x:c r="D737" t="s">
        <x:v>11</x:v>
      </x:c>
      <x:c r="E737" t="s">
        <x:v>180</x:v>
      </x:c>
      <x:c r="F737" t="s">
        <x:v>13</x:v>
      </x:c>
      <x:c r="G737" t="s">
        <x:v>14</x:v>
      </x:c>
      <x:c r="I737" t="s">
        <x:v>28</x:v>
      </x:c>
    </x:row>
    <x:row r="738">
      <x:c r="A738" t="s">
        <x:v>17</x:v>
      </x:c>
      <x:c r="B738">
        <x:v>0.33806091547012301</x:v>
      </x:c>
      <x:c r="C738" t="s">
        <x:v>23</x:v>
      </x:c>
      <x:c r="D738" t="s">
        <x:v>11</x:v>
      </x:c>
      <x:c r="E738" t="s">
        <x:v>180</x:v>
      </x:c>
      <x:c r="F738" t="s">
        <x:v>13</x:v>
      </x:c>
      <x:c r="G738" t="s">
        <x:v>14</x:v>
      </x:c>
      <x:c r="I738" t="s">
        <x:v>28</x:v>
      </x:c>
    </x:row>
    <x:row r="739">
      <x:c r="A739" t="s">
        <x:v>18</x:v>
      </x:c>
      <x:c r="B739">
        <x:v>0.31967195868492099</x:v>
      </x:c>
      <x:c r="C739" t="s">
        <x:v>23</x:v>
      </x:c>
      <x:c r="D739" t="s">
        <x:v>11</x:v>
      </x:c>
      <x:c r="E739" t="s">
        <x:v>180</x:v>
      </x:c>
      <x:c r="F739" t="s">
        <x:v>13</x:v>
      </x:c>
      <x:c r="G739" t="s">
        <x:v>14</x:v>
      </x:c>
      <x:c r="I739" t="s">
        <x:v>28</x:v>
      </x:c>
    </x:row>
    <x:row r="740">
      <x:c r="A740" t="s">
        <x:v>19</x:v>
      </x:c>
      <x:c r="B740">
        <x:v>0.56539540030400004</x:v>
      </x:c>
      <x:c r="C740" t="s">
        <x:v>23</x:v>
      </x:c>
      <x:c r="D740" t="s">
        <x:v>11</x:v>
      </x:c>
      <x:c r="E740" t="s">
        <x:v>180</x:v>
      </x:c>
      <x:c r="F740" t="s">
        <x:v>13</x:v>
      </x:c>
      <x:c r="G740" t="s">
        <x:v>14</x:v>
      </x:c>
      <x:c r="I740" t="s">
        <x:v>28</x:v>
      </x:c>
    </x:row>
    <x:row r="741">
      <x:c r="A741" t="s">
        <x:v>20</x:v>
      </x:c>
      <x:c r="B741">
        <x:v>211373980123136</x:v>
      </x:c>
      <x:c r="C741" t="s">
        <x:v>23</x:v>
      </x:c>
      <x:c r="D741" t="s">
        <x:v>11</x:v>
      </x:c>
      <x:c r="E741" t="s">
        <x:v>180</x:v>
      </x:c>
      <x:c r="F741" t="s">
        <x:v>13</x:v>
      </x:c>
      <x:c r="G741" t="s">
        <x:v>14</x:v>
      </x:c>
      <x:c r="I741" t="s">
        <x:v>28</x:v>
      </x:c>
    </x:row>
    <x:row r="742">
      <x:c r="A742" t="s">
        <x:v>9</x:v>
      </x:c>
      <x:c r="B742">
        <x:v>0.86345728401682398</x:v>
      </x:c>
      <x:c r="C742" t="s">
        <x:v>10</x:v>
      </x:c>
      <x:c r="D742" t="s">
        <x:v>11</x:v>
      </x:c>
      <x:c r="E742" t="s">
        <x:v>181</x:v>
      </x:c>
      <x:c r="F742" t="s">
        <x:v>13</x:v>
      </x:c>
      <x:c r="G742" t="s">
        <x:v>14</x:v>
      </x:c>
      <x:c r="H742" t="s">
        <x:v>34</x:v>
      </x:c>
      <x:c r="I742" t="s">
        <x:v>35</x:v>
      </x:c>
    </x:row>
    <x:row r="743">
      <x:c r="A743" t="s">
        <x:v>17</x:v>
      </x:c>
      <x:c r="B743">
        <x:v>0.37550824880599898</x:v>
      </x:c>
      <x:c r="C743" t="s">
        <x:v>10</x:v>
      </x:c>
      <x:c r="D743" t="s">
        <x:v>11</x:v>
      </x:c>
      <x:c r="E743" t="s">
        <x:v>181</x:v>
      </x:c>
      <x:c r="F743" t="s">
        <x:v>13</x:v>
      </x:c>
      <x:c r="G743" t="s">
        <x:v>14</x:v>
      </x:c>
      <x:c r="H743" t="s">
        <x:v>34</x:v>
      </x:c>
      <x:c r="I743" t="s">
        <x:v>35</x:v>
      </x:c>
    </x:row>
    <x:row r="744">
      <x:c r="A744" t="s">
        <x:v>18</x:v>
      </x:c>
      <x:c r="B744">
        <x:v>0.229904800653457</x:v>
      </x:c>
      <x:c r="C744" t="s">
        <x:v>10</x:v>
      </x:c>
      <x:c r="D744" t="s">
        <x:v>11</x:v>
      </x:c>
      <x:c r="E744" t="s">
        <x:v>181</x:v>
      </x:c>
      <x:c r="F744" t="s">
        <x:v>13</x:v>
      </x:c>
      <x:c r="G744" t="s">
        <x:v>14</x:v>
      </x:c>
      <x:c r="H744" t="s">
        <x:v>34</x:v>
      </x:c>
      <x:c r="I744" t="s">
        <x:v>35</x:v>
      </x:c>
    </x:row>
    <x:row r="745">
      <x:c r="A745" t="s">
        <x:v>19</x:v>
      </x:c>
      <x:c r="B745">
        <x:v>0.47948388987895801</x:v>
      </x:c>
      <x:c r="C745" t="s">
        <x:v>10</x:v>
      </x:c>
      <x:c r="D745" t="s">
        <x:v>11</x:v>
      </x:c>
      <x:c r="E745" t="s">
        <x:v>181</x:v>
      </x:c>
      <x:c r="F745" t="s">
        <x:v>13</x:v>
      </x:c>
      <x:c r="G745" t="s">
        <x:v>14</x:v>
      </x:c>
      <x:c r="H745" t="s">
        <x:v>34</x:v>
      </x:c>
      <x:c r="I745" t="s">
        <x:v>35</x:v>
      </x:c>
    </x:row>
    <x:row r="746">
      <x:c r="A746" t="s">
        <x:v>20</x:v>
      </x:c>
      <x:c r="B746">
        <x:v>15405602045952</x:v>
      </x:c>
      <x:c r="C746" t="s">
        <x:v>10</x:v>
      </x:c>
      <x:c r="D746" t="s">
        <x:v>11</x:v>
      </x:c>
      <x:c r="E746" t="s">
        <x:v>181</x:v>
      </x:c>
      <x:c r="F746" t="s">
        <x:v>13</x:v>
      </x:c>
      <x:c r="G746" t="s">
        <x:v>14</x:v>
      </x:c>
      <x:c r="H746" t="s">
        <x:v>34</x:v>
      </x:c>
      <x:c r="I746" t="s">
        <x:v>35</x:v>
      </x:c>
    </x:row>
    <x:row r="747">
      <x:c r="A747" t="s">
        <x:v>9</x:v>
      </x:c>
      <x:c r="B747">
        <x:v>0.86345728401682398</x:v>
      </x:c>
      <x:c r="C747" t="s">
        <x:v>10</x:v>
      </x:c>
      <x:c r="D747" t="s">
        <x:v>21</x:v>
      </x:c>
      <x:c r="E747" t="s">
        <x:v>182</x:v>
      </x:c>
      <x:c r="F747" t="s">
        <x:v>13</x:v>
      </x:c>
      <x:c r="G747" t="s">
        <x:v>14</x:v>
      </x:c>
      <x:c r="H747" t="s">
        <x:v>34</x:v>
      </x:c>
      <x:c r="I747" t="s">
        <x:v>35</x:v>
      </x:c>
    </x:row>
    <x:row r="748">
      <x:c r="A748" t="s">
        <x:v>17</x:v>
      </x:c>
      <x:c r="B748">
        <x:v>0.37550824880599898</x:v>
      </x:c>
      <x:c r="C748" t="s">
        <x:v>10</x:v>
      </x:c>
      <x:c r="D748" t="s">
        <x:v>21</x:v>
      </x:c>
      <x:c r="E748" t="s">
        <x:v>182</x:v>
      </x:c>
      <x:c r="F748" t="s">
        <x:v>13</x:v>
      </x:c>
      <x:c r="G748" t="s">
        <x:v>14</x:v>
      </x:c>
      <x:c r="H748" t="s">
        <x:v>34</x:v>
      </x:c>
      <x:c r="I748" t="s">
        <x:v>35</x:v>
      </x:c>
    </x:row>
    <x:row r="749">
      <x:c r="A749" t="s">
        <x:v>18</x:v>
      </x:c>
      <x:c r="B749">
        <x:v>0.229904800653457</x:v>
      </x:c>
      <x:c r="C749" t="s">
        <x:v>10</x:v>
      </x:c>
      <x:c r="D749" t="s">
        <x:v>21</x:v>
      </x:c>
      <x:c r="E749" t="s">
        <x:v>182</x:v>
      </x:c>
      <x:c r="F749" t="s">
        <x:v>13</x:v>
      </x:c>
      <x:c r="G749" t="s">
        <x:v>14</x:v>
      </x:c>
      <x:c r="H749" t="s">
        <x:v>34</x:v>
      </x:c>
      <x:c r="I749" t="s">
        <x:v>35</x:v>
      </x:c>
    </x:row>
    <x:row r="750">
      <x:c r="A750" t="s">
        <x:v>19</x:v>
      </x:c>
      <x:c r="B750">
        <x:v>0.47948388987895801</x:v>
      </x:c>
      <x:c r="C750" t="s">
        <x:v>10</x:v>
      </x:c>
      <x:c r="D750" t="s">
        <x:v>21</x:v>
      </x:c>
      <x:c r="E750" t="s">
        <x:v>182</x:v>
      </x:c>
      <x:c r="F750" t="s">
        <x:v>13</x:v>
      </x:c>
      <x:c r="G750" t="s">
        <x:v>14</x:v>
      </x:c>
      <x:c r="H750" t="s">
        <x:v>34</x:v>
      </x:c>
      <x:c r="I750" t="s">
        <x:v>35</x:v>
      </x:c>
    </x:row>
    <x:row r="751">
      <x:c r="A751" t="s">
        <x:v>20</x:v>
      </x:c>
      <x:c r="B751">
        <x:v>15405602045952</x:v>
      </x:c>
      <x:c r="C751" t="s">
        <x:v>10</x:v>
      </x:c>
      <x:c r="D751" t="s">
        <x:v>21</x:v>
      </x:c>
      <x:c r="E751" t="s">
        <x:v>182</x:v>
      </x:c>
      <x:c r="F751" t="s">
        <x:v>13</x:v>
      </x:c>
      <x:c r="G751" t="s">
        <x:v>14</x:v>
      </x:c>
      <x:c r="H751" t="s">
        <x:v>34</x:v>
      </x:c>
      <x:c r="I751" t="s">
        <x:v>35</x:v>
      </x:c>
    </x:row>
    <x:row r="752">
      <x:c r="A752" t="s">
        <x:v>9</x:v>
      </x:c>
      <x:c r="B752">
        <x:v>0.92453878917134003</x:v>
      </x:c>
      <x:c r="C752" t="s">
        <x:v>23</x:v>
      </x:c>
      <x:c r="D752" t="s">
        <x:v>21</x:v>
      </x:c>
      <x:c r="E752" t="s">
        <x:v>183</x:v>
      </x:c>
      <x:c r="F752" t="s">
        <x:v>13</x:v>
      </x:c>
      <x:c r="G752" t="s">
        <x:v>14</x:v>
      </x:c>
      <x:c r="H752" t="s">
        <x:v>34</x:v>
      </x:c>
      <x:c r="I752" t="s">
        <x:v>35</x:v>
      </x:c>
    </x:row>
    <x:row r="753">
      <x:c r="A753" t="s">
        <x:v>17</x:v>
      </x:c>
      <x:c r="B753">
        <x:v>0.23424015939235601</x:v>
      </x:c>
      <x:c r="C753" t="s">
        <x:v>23</x:v>
      </x:c>
      <x:c r="D753" t="s">
        <x:v>21</x:v>
      </x:c>
      <x:c r="E753" t="s">
        <x:v>183</x:v>
      </x:c>
      <x:c r="F753" t="s">
        <x:v>13</x:v>
      </x:c>
      <x:c r="G753" t="s">
        <x:v>14</x:v>
      </x:c>
      <x:c r="H753" t="s">
        <x:v>34</x:v>
      </x:c>
      <x:c r="I753" t="s">
        <x:v>35</x:v>
      </x:c>
    </x:row>
    <x:row r="754">
      <x:c r="A754" t="s">
        <x:v>18</x:v>
      </x:c>
      <x:c r="B754">
        <x:v>0.119974218308925</x:v>
      </x:c>
      <x:c r="C754" t="s">
        <x:v>23</x:v>
      </x:c>
      <x:c r="D754" t="s">
        <x:v>21</x:v>
      </x:c>
      <x:c r="E754" t="s">
        <x:v>183</x:v>
      </x:c>
      <x:c r="F754" t="s">
        <x:v>13</x:v>
      </x:c>
      <x:c r="G754" t="s">
        <x:v>14</x:v>
      </x:c>
      <x:c r="H754" t="s">
        <x:v>34</x:v>
      </x:c>
      <x:c r="I754" t="s">
        <x:v>35</x:v>
      </x:c>
    </x:row>
    <x:row r="755">
      <x:c r="A755" t="s">
        <x:v>19</x:v>
      </x:c>
      <x:c r="B755">
        <x:v>0.34637294684909398</x:v>
      </x:c>
      <x:c r="C755" t="s">
        <x:v>23</x:v>
      </x:c>
      <x:c r="D755" t="s">
        <x:v>21</x:v>
      </x:c>
      <x:c r="E755" t="s">
        <x:v>183</x:v>
      </x:c>
      <x:c r="F755" t="s">
        <x:v>13</x:v>
      </x:c>
      <x:c r="G755" t="s">
        <x:v>14</x:v>
      </x:c>
      <x:c r="H755" t="s">
        <x:v>34</x:v>
      </x:c>
      <x:c r="I755" t="s">
        <x:v>35</x:v>
      </x:c>
    </x:row>
    <x:row r="756">
      <x:c r="A756" t="s">
        <x:v>20</x:v>
      </x:c>
      <x:c r="B756">
        <x:v>300951411884032</x:v>
      </x:c>
      <x:c r="C756" t="s">
        <x:v>23</x:v>
      </x:c>
      <x:c r="D756" t="s">
        <x:v>21</x:v>
      </x:c>
      <x:c r="E756" t="s">
        <x:v>183</x:v>
      </x:c>
      <x:c r="F756" t="s">
        <x:v>13</x:v>
      </x:c>
      <x:c r="G756" t="s">
        <x:v>14</x:v>
      </x:c>
      <x:c r="H756" t="s">
        <x:v>34</x:v>
      </x:c>
      <x:c r="I756" t="s">
        <x:v>35</x:v>
      </x:c>
    </x:row>
    <x:row r="757">
      <x:c r="A757" t="s">
        <x:v>9</x:v>
      </x:c>
      <x:c r="B757">
        <x:v>0.92453878917134003</x:v>
      </x:c>
      <x:c r="C757" t="s">
        <x:v>23</x:v>
      </x:c>
      <x:c r="D757" t="s">
        <x:v>11</x:v>
      </x:c>
      <x:c r="E757" t="s">
        <x:v>184</x:v>
      </x:c>
      <x:c r="F757" t="s">
        <x:v>13</x:v>
      </x:c>
      <x:c r="G757" t="s">
        <x:v>14</x:v>
      </x:c>
      <x:c r="H757" t="s">
        <x:v>34</x:v>
      </x:c>
      <x:c r="I757" t="s">
        <x:v>35</x:v>
      </x:c>
    </x:row>
    <x:row r="758">
      <x:c r="A758" t="s">
        <x:v>17</x:v>
      </x:c>
      <x:c r="B758">
        <x:v>0.23424015939235601</x:v>
      </x:c>
      <x:c r="C758" t="s">
        <x:v>23</x:v>
      </x:c>
      <x:c r="D758" t="s">
        <x:v>11</x:v>
      </x:c>
      <x:c r="E758" t="s">
        <x:v>184</x:v>
      </x:c>
      <x:c r="F758" t="s">
        <x:v>13</x:v>
      </x:c>
      <x:c r="G758" t="s">
        <x:v>14</x:v>
      </x:c>
      <x:c r="H758" t="s">
        <x:v>34</x:v>
      </x:c>
      <x:c r="I758" t="s">
        <x:v>35</x:v>
      </x:c>
    </x:row>
    <x:row r="759">
      <x:c r="A759" t="s">
        <x:v>18</x:v>
      </x:c>
      <x:c r="B759">
        <x:v>0.119974218308925</x:v>
      </x:c>
      <x:c r="C759" t="s">
        <x:v>23</x:v>
      </x:c>
      <x:c r="D759" t="s">
        <x:v>11</x:v>
      </x:c>
      <x:c r="E759" t="s">
        <x:v>184</x:v>
      </x:c>
      <x:c r="F759" t="s">
        <x:v>13</x:v>
      </x:c>
      <x:c r="G759" t="s">
        <x:v>14</x:v>
      </x:c>
      <x:c r="H759" t="s">
        <x:v>34</x:v>
      </x:c>
      <x:c r="I759" t="s">
        <x:v>35</x:v>
      </x:c>
    </x:row>
    <x:row r="760">
      <x:c r="A760" t="s">
        <x:v>19</x:v>
      </x:c>
      <x:c r="B760">
        <x:v>0.34637294684909398</x:v>
      </x:c>
      <x:c r="C760" t="s">
        <x:v>23</x:v>
      </x:c>
      <x:c r="D760" t="s">
        <x:v>11</x:v>
      </x:c>
      <x:c r="E760" t="s">
        <x:v>184</x:v>
      </x:c>
      <x:c r="F760" t="s">
        <x:v>13</x:v>
      </x:c>
      <x:c r="G760" t="s">
        <x:v>14</x:v>
      </x:c>
      <x:c r="H760" t="s">
        <x:v>34</x:v>
      </x:c>
      <x:c r="I760" t="s">
        <x:v>35</x:v>
      </x:c>
    </x:row>
    <x:row r="761">
      <x:c r="A761" t="s">
        <x:v>20</x:v>
      </x:c>
      <x:c r="B761">
        <x:v>300951411884032</x:v>
      </x:c>
      <x:c r="C761" t="s">
        <x:v>23</x:v>
      </x:c>
      <x:c r="D761" t="s">
        <x:v>11</x:v>
      </x:c>
      <x:c r="E761" t="s">
        <x:v>184</x:v>
      </x:c>
      <x:c r="F761" t="s">
        <x:v>13</x:v>
      </x:c>
      <x:c r="G761" t="s">
        <x:v>14</x:v>
      </x:c>
      <x:c r="H761" t="s">
        <x:v>34</x:v>
      </x:c>
      <x:c r="I761" t="s">
        <x:v>35</x:v>
      </x:c>
    </x:row>
    <x:row r="762">
      <x:c r="A762" t="s">
        <x:v>9</x:v>
      </x:c>
      <x:c r="B762">
        <x:v>0.92792773009899199</x:v>
      </x:c>
      <x:c r="C762" t="s">
        <x:v>10</x:v>
      </x:c>
      <x:c r="D762" t="s">
        <x:v>11</x:v>
      </x:c>
      <x:c r="E762" t="s">
        <x:v>185</x:v>
      </x:c>
      <x:c r="F762" t="s">
        <x:v>33</x:v>
      </x:c>
      <x:c r="G762" t="s">
        <x:v>14</x:v>
      </x:c>
      <x:c r="H762" t="s">
        <x:v>15</x:v>
      </x:c>
      <x:c r="I762" t="s">
        <x:v>87</x:v>
      </x:c>
    </x:row>
    <x:row r="763">
      <x:c r="A763" t="s">
        <x:v>17</x:v>
      </x:c>
      <x:c r="B763">
        <x:v>0.14623589813709201</x:v>
      </x:c>
      <x:c r="C763" t="s">
        <x:v>10</x:v>
      </x:c>
      <x:c r="D763" t="s">
        <x:v>11</x:v>
      </x:c>
      <x:c r="E763" t="s">
        <x:v>185</x:v>
      </x:c>
      <x:c r="F763" t="s">
        <x:v>33</x:v>
      </x:c>
      <x:c r="G763" t="s">
        <x:v>14</x:v>
      </x:c>
      <x:c r="H763" t="s">
        <x:v>15</x:v>
      </x:c>
      <x:c r="I763" t="s">
        <x:v>87</x:v>
      </x:c>
    </x:row>
    <x:row r="764">
      <x:c r="A764" t="s">
        <x:v>18</x:v>
      </x:c>
      <x:c r="B764">
        <x:v>4.5304443687200498E-2</x:v>
      </x:c>
      <x:c r="C764" t="s">
        <x:v>10</x:v>
      </x:c>
      <x:c r="D764" t="s">
        <x:v>11</x:v>
      </x:c>
      <x:c r="E764" t="s">
        <x:v>185</x:v>
      </x:c>
      <x:c r="F764" t="s">
        <x:v>33</x:v>
      </x:c>
      <x:c r="G764" t="s">
        <x:v>14</x:v>
      </x:c>
      <x:c r="H764" t="s">
        <x:v>15</x:v>
      </x:c>
      <x:c r="I764" t="s">
        <x:v>87</x:v>
      </x:c>
    </x:row>
    <x:row r="765">
      <x:c r="A765" t="s">
        <x:v>19</x:v>
      </x:c>
      <x:c r="B765">
        <x:v>0.21284840541380701</x:v>
      </x:c>
      <x:c r="C765" t="s">
        <x:v>10</x:v>
      </x:c>
      <x:c r="D765" t="s">
        <x:v>11</x:v>
      </x:c>
      <x:c r="E765" t="s">
        <x:v>185</x:v>
      </x:c>
      <x:c r="F765" t="s">
        <x:v>33</x:v>
      </x:c>
      <x:c r="G765" t="s">
        <x:v>14</x:v>
      </x:c>
      <x:c r="H765" t="s">
        <x:v>15</x:v>
      </x:c>
      <x:c r="I765" t="s">
        <x:v>87</x:v>
      </x:c>
    </x:row>
    <x:row r="766">
      <x:c r="A766" t="s">
        <x:v>20</x:v>
      </x:c>
      <x:c r="B766">
        <x:v>71324651225088</x:v>
      </x:c>
      <x:c r="C766" t="s">
        <x:v>10</x:v>
      </x:c>
      <x:c r="D766" t="s">
        <x:v>11</x:v>
      </x:c>
      <x:c r="E766" t="s">
        <x:v>185</x:v>
      </x:c>
      <x:c r="F766" t="s">
        <x:v>33</x:v>
      </x:c>
      <x:c r="G766" t="s">
        <x:v>14</x:v>
      </x:c>
      <x:c r="H766" t="s">
        <x:v>15</x:v>
      </x:c>
      <x:c r="I766" t="s">
        <x:v>87</x:v>
      </x:c>
    </x:row>
    <x:row r="767">
      <x:c r="A767" t="s">
        <x:v>9</x:v>
      </x:c>
      <x:c r="B767">
        <x:v>0.92792773009899199</x:v>
      </x:c>
      <x:c r="C767" t="s">
        <x:v>10</x:v>
      </x:c>
      <x:c r="D767" t="s">
        <x:v>21</x:v>
      </x:c>
      <x:c r="E767" t="s">
        <x:v>186</x:v>
      </x:c>
      <x:c r="F767" t="s">
        <x:v>33</x:v>
      </x:c>
      <x:c r="G767" t="s">
        <x:v>14</x:v>
      </x:c>
      <x:c r="H767" t="s">
        <x:v>15</x:v>
      </x:c>
      <x:c r="I767" t="s">
        <x:v>87</x:v>
      </x:c>
    </x:row>
    <x:row r="768">
      <x:c r="A768" t="s">
        <x:v>17</x:v>
      </x:c>
      <x:c r="B768">
        <x:v>0.14623589813709201</x:v>
      </x:c>
      <x:c r="C768" t="s">
        <x:v>10</x:v>
      </x:c>
      <x:c r="D768" t="s">
        <x:v>21</x:v>
      </x:c>
      <x:c r="E768" t="s">
        <x:v>186</x:v>
      </x:c>
      <x:c r="F768" t="s">
        <x:v>33</x:v>
      </x:c>
      <x:c r="G768" t="s">
        <x:v>14</x:v>
      </x:c>
      <x:c r="H768" t="s">
        <x:v>15</x:v>
      </x:c>
      <x:c r="I768" t="s">
        <x:v>87</x:v>
      </x:c>
    </x:row>
    <x:row r="769">
      <x:c r="A769" t="s">
        <x:v>18</x:v>
      </x:c>
      <x:c r="B769">
        <x:v>4.5304443687200498E-2</x:v>
      </x:c>
      <x:c r="C769" t="s">
        <x:v>10</x:v>
      </x:c>
      <x:c r="D769" t="s">
        <x:v>21</x:v>
      </x:c>
      <x:c r="E769" t="s">
        <x:v>186</x:v>
      </x:c>
      <x:c r="F769" t="s">
        <x:v>33</x:v>
      </x:c>
      <x:c r="G769" t="s">
        <x:v>14</x:v>
      </x:c>
      <x:c r="H769" t="s">
        <x:v>15</x:v>
      </x:c>
      <x:c r="I769" t="s">
        <x:v>87</x:v>
      </x:c>
    </x:row>
    <x:row r="770">
      <x:c r="A770" t="s">
        <x:v>19</x:v>
      </x:c>
      <x:c r="B770">
        <x:v>0.21284840541380701</x:v>
      </x:c>
      <x:c r="C770" t="s">
        <x:v>10</x:v>
      </x:c>
      <x:c r="D770" t="s">
        <x:v>21</x:v>
      </x:c>
      <x:c r="E770" t="s">
        <x:v>186</x:v>
      </x:c>
      <x:c r="F770" t="s">
        <x:v>33</x:v>
      </x:c>
      <x:c r="G770" t="s">
        <x:v>14</x:v>
      </x:c>
      <x:c r="H770" t="s">
        <x:v>15</x:v>
      </x:c>
      <x:c r="I770" t="s">
        <x:v>87</x:v>
      </x:c>
    </x:row>
    <x:row r="771">
      <x:c r="A771" t="s">
        <x:v>20</x:v>
      </x:c>
      <x:c r="B771">
        <x:v>71324651225088</x:v>
      </x:c>
      <x:c r="C771" t="s">
        <x:v>10</x:v>
      </x:c>
      <x:c r="D771" t="s">
        <x:v>21</x:v>
      </x:c>
      <x:c r="E771" t="s">
        <x:v>186</x:v>
      </x:c>
      <x:c r="F771" t="s">
        <x:v>33</x:v>
      </x:c>
      <x:c r="G771" t="s">
        <x:v>14</x:v>
      </x:c>
      <x:c r="H771" t="s">
        <x:v>15</x:v>
      </x:c>
      <x:c r="I771" t="s">
        <x:v>87</x:v>
      </x:c>
    </x:row>
    <x:row r="772">
      <x:c r="A772" t="s">
        <x:v>9</x:v>
      </x:c>
      <x:c r="B772">
        <x:v>0.91422914155886703</x:v>
      </x:c>
      <x:c r="C772" t="s">
        <x:v>23</x:v>
      </x:c>
      <x:c r="D772" t="s">
        <x:v>21</x:v>
      </x:c>
      <x:c r="E772" t="s">
        <x:v>187</x:v>
      </x:c>
      <x:c r="F772" t="s">
        <x:v>33</x:v>
      </x:c>
      <x:c r="G772" t="s">
        <x:v>14</x:v>
      </x:c>
      <x:c r="H772" t="s">
        <x:v>15</x:v>
      </x:c>
      <x:c r="I772" t="s">
        <x:v>87</x:v>
      </x:c>
    </x:row>
    <x:row r="773">
      <x:c r="A773" t="s">
        <x:v>17</x:v>
      </x:c>
      <x:c r="B773">
        <x:v>0.28554433584213201</x:v>
      </x:c>
      <x:c r="C773" t="s">
        <x:v>23</x:v>
      </x:c>
      <x:c r="D773" t="s">
        <x:v>21</x:v>
      </x:c>
      <x:c r="E773" t="s">
        <x:v>187</x:v>
      </x:c>
      <x:c r="F773" t="s">
        <x:v>33</x:v>
      </x:c>
      <x:c r="G773" t="s">
        <x:v>14</x:v>
      </x:c>
      <x:c r="H773" t="s">
        <x:v>15</x:v>
      </x:c>
      <x:c r="I773" t="s">
        <x:v>87</x:v>
      </x:c>
    </x:row>
    <x:row r="774">
      <x:c r="A774" t="s">
        <x:v>18</x:v>
      </x:c>
      <x:c r="B774">
        <x:v>0.24225802719593001</x:v>
      </x:c>
      <x:c r="C774" t="s">
        <x:v>23</x:v>
      </x:c>
      <x:c r="D774" t="s">
        <x:v>21</x:v>
      </x:c>
      <x:c r="E774" t="s">
        <x:v>187</x:v>
      </x:c>
      <x:c r="F774" t="s">
        <x:v>33</x:v>
      </x:c>
      <x:c r="G774" t="s">
        <x:v>14</x:v>
      </x:c>
      <x:c r="H774" t="s">
        <x:v>15</x:v>
      </x:c>
      <x:c r="I774" t="s">
        <x:v>87</x:v>
      </x:c>
    </x:row>
    <x:row r="775">
      <x:c r="A775" t="s">
        <x:v>19</x:v>
      </x:c>
      <x:c r="B775">
        <x:v>0.49219714261252101</x:v>
      </x:c>
      <x:c r="C775" t="s">
        <x:v>23</x:v>
      </x:c>
      <x:c r="D775" t="s">
        <x:v>21</x:v>
      </x:c>
      <x:c r="E775" t="s">
        <x:v>187</x:v>
      </x:c>
      <x:c r="F775" t="s">
        <x:v>33</x:v>
      </x:c>
      <x:c r="G775" t="s">
        <x:v>14</x:v>
      </x:c>
      <x:c r="H775" t="s">
        <x:v>15</x:v>
      </x:c>
      <x:c r="I775" t="s">
        <x:v>87</x:v>
      </x:c>
    </x:row>
    <x:row r="776">
      <x:c r="A776" t="s">
        <x:v>20</x:v>
      </x:c>
      <x:c r="B776">
        <x:v>228508383051776</x:v>
      </x:c>
      <x:c r="C776" t="s">
        <x:v>23</x:v>
      </x:c>
      <x:c r="D776" t="s">
        <x:v>21</x:v>
      </x:c>
      <x:c r="E776" t="s">
        <x:v>187</x:v>
      </x:c>
      <x:c r="F776" t="s">
        <x:v>33</x:v>
      </x:c>
      <x:c r="G776" t="s">
        <x:v>14</x:v>
      </x:c>
      <x:c r="H776" t="s">
        <x:v>15</x:v>
      </x:c>
      <x:c r="I776" t="s">
        <x:v>87</x:v>
      </x:c>
    </x:row>
    <x:row r="777">
      <x:c r="A777" t="s">
        <x:v>9</x:v>
      </x:c>
      <x:c r="B777">
        <x:v>0.91422914155886703</x:v>
      </x:c>
      <x:c r="C777" t="s">
        <x:v>23</x:v>
      </x:c>
      <x:c r="D777" t="s">
        <x:v>11</x:v>
      </x:c>
      <x:c r="E777" t="s">
        <x:v>188</x:v>
      </x:c>
      <x:c r="F777" t="s">
        <x:v>33</x:v>
      </x:c>
      <x:c r="G777" t="s">
        <x:v>14</x:v>
      </x:c>
      <x:c r="H777" t="s">
        <x:v>15</x:v>
      </x:c>
      <x:c r="I777" t="s">
        <x:v>87</x:v>
      </x:c>
    </x:row>
    <x:row r="778">
      <x:c r="A778" t="s">
        <x:v>17</x:v>
      </x:c>
      <x:c r="B778">
        <x:v>0.28554433584213201</x:v>
      </x:c>
      <x:c r="C778" t="s">
        <x:v>23</x:v>
      </x:c>
      <x:c r="D778" t="s">
        <x:v>11</x:v>
      </x:c>
      <x:c r="E778" t="s">
        <x:v>188</x:v>
      </x:c>
      <x:c r="F778" t="s">
        <x:v>33</x:v>
      </x:c>
      <x:c r="G778" t="s">
        <x:v>14</x:v>
      </x:c>
      <x:c r="H778" t="s">
        <x:v>15</x:v>
      </x:c>
      <x:c r="I778" t="s">
        <x:v>87</x:v>
      </x:c>
    </x:row>
    <x:row r="779">
      <x:c r="A779" t="s">
        <x:v>18</x:v>
      </x:c>
      <x:c r="B779">
        <x:v>0.24225802719593001</x:v>
      </x:c>
      <x:c r="C779" t="s">
        <x:v>23</x:v>
      </x:c>
      <x:c r="D779" t="s">
        <x:v>11</x:v>
      </x:c>
      <x:c r="E779" t="s">
        <x:v>188</x:v>
      </x:c>
      <x:c r="F779" t="s">
        <x:v>33</x:v>
      </x:c>
      <x:c r="G779" t="s">
        <x:v>14</x:v>
      </x:c>
      <x:c r="H779" t="s">
        <x:v>15</x:v>
      </x:c>
      <x:c r="I779" t="s">
        <x:v>87</x:v>
      </x:c>
    </x:row>
    <x:row r="780">
      <x:c r="A780" t="s">
        <x:v>19</x:v>
      </x:c>
      <x:c r="B780">
        <x:v>0.49219714261252101</x:v>
      </x:c>
      <x:c r="C780" t="s">
        <x:v>23</x:v>
      </x:c>
      <x:c r="D780" t="s">
        <x:v>11</x:v>
      </x:c>
      <x:c r="E780" t="s">
        <x:v>188</x:v>
      </x:c>
      <x:c r="F780" t="s">
        <x:v>33</x:v>
      </x:c>
      <x:c r="G780" t="s">
        <x:v>14</x:v>
      </x:c>
      <x:c r="H780" t="s">
        <x:v>15</x:v>
      </x:c>
      <x:c r="I780" t="s">
        <x:v>87</x:v>
      </x:c>
    </x:row>
    <x:row r="781">
      <x:c r="A781" t="s">
        <x:v>20</x:v>
      </x:c>
      <x:c r="B781">
        <x:v>228508383051776</x:v>
      </x:c>
      <x:c r="C781" t="s">
        <x:v>23</x:v>
      </x:c>
      <x:c r="D781" t="s">
        <x:v>11</x:v>
      </x:c>
      <x:c r="E781" t="s">
        <x:v>188</x:v>
      </x:c>
      <x:c r="F781" t="s">
        <x:v>33</x:v>
      </x:c>
      <x:c r="G781" t="s">
        <x:v>14</x:v>
      </x:c>
      <x:c r="H781" t="s">
        <x:v>15</x:v>
      </x:c>
      <x:c r="I781" t="s">
        <x:v>87</x:v>
      </x:c>
    </x:row>
    <x:row r="782">
      <x:c r="A782" t="s">
        <x:v>9</x:v>
      </x:c>
      <x:c r="B782">
        <x:v>0.979462422448523</x:v>
      </x:c>
      <x:c r="C782" t="s">
        <x:v>10</x:v>
      </x:c>
      <x:c r="D782" t="s">
        <x:v>11</x:v>
      </x:c>
      <x:c r="E782" t="s">
        <x:v>189</x:v>
      </x:c>
      <x:c r="F782" t="s">
        <x:v>33</x:v>
      </x:c>
      <x:c r="G782" t="s">
        <x:v>14</x:v>
      </x:c>
      <x:c r="I782" t="s">
        <x:v>45</x:v>
      </x:c>
    </x:row>
    <x:row r="783">
      <x:c r="A783" t="s">
        <x:v>17</x:v>
      </x:c>
      <x:c r="B783">
        <x:v>1.5107121318578699E-2</x:v>
      </x:c>
      <x:c r="C783" t="s">
        <x:v>10</x:v>
      </x:c>
      <x:c r="D783" t="s">
        <x:v>11</x:v>
      </x:c>
      <x:c r="E783" t="s">
        <x:v>189</x:v>
      </x:c>
      <x:c r="F783" t="s">
        <x:v>33</x:v>
      </x:c>
      <x:c r="G783" t="s">
        <x:v>14</x:v>
      </x:c>
      <x:c r="I783" t="s">
        <x:v>45</x:v>
      </x:c>
    </x:row>
    <x:row r="784">
      <x:c r="A784" t="s">
        <x:v>18</x:v>
      </x:c>
      <x:c r="B784">
        <x:v>2.2727886680513599E-3</x:v>
      </x:c>
      <x:c r="C784" t="s">
        <x:v>10</x:v>
      </x:c>
      <x:c r="D784" t="s">
        <x:v>11</x:v>
      </x:c>
      <x:c r="E784" t="s">
        <x:v>189</x:v>
      </x:c>
      <x:c r="F784" t="s">
        <x:v>33</x:v>
      </x:c>
      <x:c r="G784" t="s">
        <x:v>14</x:v>
      </x:c>
      <x:c r="I784" t="s">
        <x:v>45</x:v>
      </x:c>
    </x:row>
    <x:row r="785">
      <x:c r="A785" t="s">
        <x:v>19</x:v>
      </x:c>
      <x:c r="B785">
        <x:v>4.7673773377522301E-2</x:v>
      </x:c>
      <x:c r="C785" t="s">
        <x:v>10</x:v>
      </x:c>
      <x:c r="D785" t="s">
        <x:v>11</x:v>
      </x:c>
      <x:c r="E785" t="s">
        <x:v>189</x:v>
      </x:c>
      <x:c r="F785" t="s">
        <x:v>33</x:v>
      </x:c>
      <x:c r="G785" t="s">
        <x:v>14</x:v>
      </x:c>
      <x:c r="I785" t="s">
        <x:v>45</x:v>
      </x:c>
    </x:row>
    <x:row r="786">
      <x:c r="A786" t="s">
        <x:v>20</x:v>
      </x:c>
      <x:c r="B786">
        <x:v>7147356160000</x:v>
      </x:c>
      <x:c r="C786" t="s">
        <x:v>10</x:v>
      </x:c>
      <x:c r="D786" t="s">
        <x:v>11</x:v>
      </x:c>
      <x:c r="E786" t="s">
        <x:v>189</x:v>
      </x:c>
      <x:c r="F786" t="s">
        <x:v>33</x:v>
      </x:c>
      <x:c r="G786" t="s">
        <x:v>14</x:v>
      </x:c>
      <x:c r="I786" t="s">
        <x:v>45</x:v>
      </x:c>
    </x:row>
    <x:row r="787">
      <x:c r="A787" t="s">
        <x:v>9</x:v>
      </x:c>
      <x:c r="B787">
        <x:v>0.979462422448523</x:v>
      </x:c>
      <x:c r="C787" t="s">
        <x:v>10</x:v>
      </x:c>
      <x:c r="D787" t="s">
        <x:v>21</x:v>
      </x:c>
      <x:c r="E787" t="s">
        <x:v>190</x:v>
      </x:c>
      <x:c r="F787" t="s">
        <x:v>33</x:v>
      </x:c>
      <x:c r="G787" t="s">
        <x:v>14</x:v>
      </x:c>
      <x:c r="I787" t="s">
        <x:v>45</x:v>
      </x:c>
    </x:row>
    <x:row r="788">
      <x:c r="A788" t="s">
        <x:v>17</x:v>
      </x:c>
      <x:c r="B788">
        <x:v>1.5107121318578699E-2</x:v>
      </x:c>
      <x:c r="C788" t="s">
        <x:v>10</x:v>
      </x:c>
      <x:c r="D788" t="s">
        <x:v>21</x:v>
      </x:c>
      <x:c r="E788" t="s">
        <x:v>190</x:v>
      </x:c>
      <x:c r="F788" t="s">
        <x:v>33</x:v>
      </x:c>
      <x:c r="G788" t="s">
        <x:v>14</x:v>
      </x:c>
      <x:c r="I788" t="s">
        <x:v>45</x:v>
      </x:c>
    </x:row>
    <x:row r="789">
      <x:c r="A789" t="s">
        <x:v>18</x:v>
      </x:c>
      <x:c r="B789">
        <x:v>2.2727886680513599E-3</x:v>
      </x:c>
      <x:c r="C789" t="s">
        <x:v>10</x:v>
      </x:c>
      <x:c r="D789" t="s">
        <x:v>21</x:v>
      </x:c>
      <x:c r="E789" t="s">
        <x:v>190</x:v>
      </x:c>
      <x:c r="F789" t="s">
        <x:v>33</x:v>
      </x:c>
      <x:c r="G789" t="s">
        <x:v>14</x:v>
      </x:c>
      <x:c r="I789" t="s">
        <x:v>45</x:v>
      </x:c>
    </x:row>
    <x:row r="790">
      <x:c r="A790" t="s">
        <x:v>19</x:v>
      </x:c>
      <x:c r="B790">
        <x:v>4.7673773377522301E-2</x:v>
      </x:c>
      <x:c r="C790" t="s">
        <x:v>10</x:v>
      </x:c>
      <x:c r="D790" t="s">
        <x:v>21</x:v>
      </x:c>
      <x:c r="E790" t="s">
        <x:v>190</x:v>
      </x:c>
      <x:c r="F790" t="s">
        <x:v>33</x:v>
      </x:c>
      <x:c r="G790" t="s">
        <x:v>14</x:v>
      </x:c>
      <x:c r="I790" t="s">
        <x:v>45</x:v>
      </x:c>
    </x:row>
    <x:row r="791">
      <x:c r="A791" t="s">
        <x:v>20</x:v>
      </x:c>
      <x:c r="B791">
        <x:v>7147356160000</x:v>
      </x:c>
      <x:c r="C791" t="s">
        <x:v>10</x:v>
      </x:c>
      <x:c r="D791" t="s">
        <x:v>21</x:v>
      </x:c>
      <x:c r="E791" t="s">
        <x:v>190</x:v>
      </x:c>
      <x:c r="F791" t="s">
        <x:v>33</x:v>
      </x:c>
      <x:c r="G791" t="s">
        <x:v>14</x:v>
      </x:c>
      <x:c r="I791" t="s">
        <x:v>45</x:v>
      </x:c>
    </x:row>
    <x:row r="792">
      <x:c r="A792" t="s">
        <x:v>9</x:v>
      </x:c>
      <x:c r="B792">
        <x:v>0.74296743996886305</x:v>
      </x:c>
      <x:c r="C792" t="s">
        <x:v>23</x:v>
      </x:c>
      <x:c r="D792" t="s">
        <x:v>21</x:v>
      </x:c>
      <x:c r="E792" t="s">
        <x:v>191</x:v>
      </x:c>
      <x:c r="F792" t="s">
        <x:v>33</x:v>
      </x:c>
      <x:c r="G792" t="s">
        <x:v>14</x:v>
      </x:c>
      <x:c r="I792" t="s">
        <x:v>45</x:v>
      </x:c>
    </x:row>
    <x:row r="793">
      <x:c r="A793" t="s">
        <x:v>17</x:v>
      </x:c>
      <x:c r="B793">
        <x:v>0.33995375037193298</x:v>
      </x:c>
      <x:c r="C793" t="s">
        <x:v>23</x:v>
      </x:c>
      <x:c r="D793" t="s">
        <x:v>21</x:v>
      </x:c>
      <x:c r="E793" t="s">
        <x:v>191</x:v>
      </x:c>
      <x:c r="F793" t="s">
        <x:v>33</x:v>
      </x:c>
      <x:c r="G793" t="s">
        <x:v>14</x:v>
      </x:c>
      <x:c r="I793" t="s">
        <x:v>45</x:v>
      </x:c>
    </x:row>
    <x:row r="794">
      <x:c r="A794" t="s">
        <x:v>18</x:v>
      </x:c>
      <x:c r="B794">
        <x:v>0.42820236086845398</x:v>
      </x:c>
      <x:c r="C794" t="s">
        <x:v>23</x:v>
      </x:c>
      <x:c r="D794" t="s">
        <x:v>21</x:v>
      </x:c>
      <x:c r="E794" t="s">
        <x:v>191</x:v>
      </x:c>
      <x:c r="F794" t="s">
        <x:v>33</x:v>
      </x:c>
      <x:c r="G794" t="s">
        <x:v>14</x:v>
      </x:c>
      <x:c r="I794" t="s">
        <x:v>45</x:v>
      </x:c>
    </x:row>
    <x:row r="795">
      <x:c r="A795" t="s">
        <x:v>19</x:v>
      </x:c>
      <x:c r="B795">
        <x:v>0.65437172988176495</x:v>
      </x:c>
      <x:c r="C795" t="s">
        <x:v>23</x:v>
      </x:c>
      <x:c r="D795" t="s">
        <x:v>21</x:v>
      </x:c>
      <x:c r="E795" t="s">
        <x:v>191</x:v>
      </x:c>
      <x:c r="F795" t="s">
        <x:v>33</x:v>
      </x:c>
      <x:c r="G795" t="s">
        <x:v>14</x:v>
      </x:c>
      <x:c r="I795" t="s">
        <x:v>45</x:v>
      </x:c>
    </x:row>
    <x:row r="796">
      <x:c r="A796" t="s">
        <x:v>20</x:v>
      </x:c>
      <x:c r="B796">
        <x:v>269532518154240</x:v>
      </x:c>
      <x:c r="C796" t="s">
        <x:v>23</x:v>
      </x:c>
      <x:c r="D796" t="s">
        <x:v>21</x:v>
      </x:c>
      <x:c r="E796" t="s">
        <x:v>191</x:v>
      </x:c>
      <x:c r="F796" t="s">
        <x:v>33</x:v>
      </x:c>
      <x:c r="G796" t="s">
        <x:v>14</x:v>
      </x:c>
      <x:c r="I796" t="s">
        <x:v>45</x:v>
      </x:c>
    </x:row>
    <x:row r="797">
      <x:c r="A797" t="s">
        <x:v>9</x:v>
      </x:c>
      <x:c r="B797">
        <x:v>0.74296743996886305</x:v>
      </x:c>
      <x:c r="C797" t="s">
        <x:v>23</x:v>
      </x:c>
      <x:c r="D797" t="s">
        <x:v>11</x:v>
      </x:c>
      <x:c r="E797" t="s">
        <x:v>192</x:v>
      </x:c>
      <x:c r="F797" t="s">
        <x:v>33</x:v>
      </x:c>
      <x:c r="G797" t="s">
        <x:v>14</x:v>
      </x:c>
      <x:c r="I797" t="s">
        <x:v>45</x:v>
      </x:c>
    </x:row>
    <x:row r="798">
      <x:c r="A798" t="s">
        <x:v>17</x:v>
      </x:c>
      <x:c r="B798">
        <x:v>0.33995375037193298</x:v>
      </x:c>
      <x:c r="C798" t="s">
        <x:v>23</x:v>
      </x:c>
      <x:c r="D798" t="s">
        <x:v>11</x:v>
      </x:c>
      <x:c r="E798" t="s">
        <x:v>192</x:v>
      </x:c>
      <x:c r="F798" t="s">
        <x:v>33</x:v>
      </x:c>
      <x:c r="G798" t="s">
        <x:v>14</x:v>
      </x:c>
      <x:c r="I798" t="s">
        <x:v>45</x:v>
      </x:c>
    </x:row>
    <x:row r="799">
      <x:c r="A799" t="s">
        <x:v>18</x:v>
      </x:c>
      <x:c r="B799">
        <x:v>0.42820236086845398</x:v>
      </x:c>
      <x:c r="C799" t="s">
        <x:v>23</x:v>
      </x:c>
      <x:c r="D799" t="s">
        <x:v>11</x:v>
      </x:c>
      <x:c r="E799" t="s">
        <x:v>192</x:v>
      </x:c>
      <x:c r="F799" t="s">
        <x:v>33</x:v>
      </x:c>
      <x:c r="G799" t="s">
        <x:v>14</x:v>
      </x:c>
      <x:c r="I799" t="s">
        <x:v>45</x:v>
      </x:c>
    </x:row>
    <x:row r="800">
      <x:c r="A800" t="s">
        <x:v>19</x:v>
      </x:c>
      <x:c r="B800">
        <x:v>0.65437172988176495</x:v>
      </x:c>
      <x:c r="C800" t="s">
        <x:v>23</x:v>
      </x:c>
      <x:c r="D800" t="s">
        <x:v>11</x:v>
      </x:c>
      <x:c r="E800" t="s">
        <x:v>192</x:v>
      </x:c>
      <x:c r="F800" t="s">
        <x:v>33</x:v>
      </x:c>
      <x:c r="G800" t="s">
        <x:v>14</x:v>
      </x:c>
      <x:c r="I800" t="s">
        <x:v>45</x:v>
      </x:c>
    </x:row>
    <x:row r="801">
      <x:c r="A801" t="s">
        <x:v>20</x:v>
      </x:c>
      <x:c r="B801">
        <x:v>269532518154240</x:v>
      </x:c>
      <x:c r="C801" t="s">
        <x:v>23</x:v>
      </x:c>
      <x:c r="D801" t="s">
        <x:v>11</x:v>
      </x:c>
      <x:c r="E801" t="s">
        <x:v>192</x:v>
      </x:c>
      <x:c r="F801" t="s">
        <x:v>33</x:v>
      </x:c>
      <x:c r="G801" t="s">
        <x:v>14</x:v>
      </x:c>
      <x:c r="I801" t="s">
        <x:v>45</x:v>
      </x:c>
    </x:row>
    <x:row r="802">
      <x:c r="A802" t="s">
        <x:v>9</x:v>
      </x:c>
      <x:c r="B802">
        <x:v>0.98818734945919295</x:v>
      </x:c>
      <x:c r="C802" t="s">
        <x:v>10</x:v>
      </x:c>
      <x:c r="D802" t="s">
        <x:v>11</x:v>
      </x:c>
      <x:c r="E802" t="s">
        <x:v>193</x:v>
      </x:c>
      <x:c r="F802" t="s">
        <x:v>13</x:v>
      </x:c>
      <x:c r="G802" t="s">
        <x:v>14</x:v>
      </x:c>
      <x:c r="H802" t="s">
        <x:v>15</x:v>
      </x:c>
      <x:c r="I802" t="s">
        <x:v>45</x:v>
      </x:c>
    </x:row>
    <x:row r="803">
      <x:c r="A803" t="s">
        <x:v>17</x:v>
      </x:c>
      <x:c r="B803">
        <x:v>3.6741299554705598E-3</x:v>
      </x:c>
      <x:c r="C803" t="s">
        <x:v>10</x:v>
      </x:c>
      <x:c r="D803" t="s">
        <x:v>11</x:v>
      </x:c>
      <x:c r="E803" t="s">
        <x:v>193</x:v>
      </x:c>
      <x:c r="F803" t="s">
        <x:v>13</x:v>
      </x:c>
      <x:c r="G803" t="s">
        <x:v>14</x:v>
      </x:c>
      <x:c r="H803" t="s">
        <x:v>15</x:v>
      </x:c>
      <x:c r="I803" t="s">
        <x:v>45</x:v>
      </x:c>
    </x:row>
    <x:row r="804">
      <x:c r="A804" t="s">
        <x:v>18</x:v>
      </x:c>
      <x:c r="B804">
        <x:v>3.4113141009583999E-4</x:v>
      </x:c>
      <x:c r="C804" t="s">
        <x:v>10</x:v>
      </x:c>
      <x:c r="D804" t="s">
        <x:v>11</x:v>
      </x:c>
      <x:c r="E804" t="s">
        <x:v>193</x:v>
      </x:c>
      <x:c r="F804" t="s">
        <x:v>13</x:v>
      </x:c>
      <x:c r="G804" t="s">
        <x:v>14</x:v>
      </x:c>
      <x:c r="H804" t="s">
        <x:v>15</x:v>
      </x:c>
      <x:c r="I804" t="s">
        <x:v>45</x:v>
      </x:c>
    </x:row>
    <x:row r="805">
      <x:c r="A805" t="s">
        <x:v>19</x:v>
      </x:c>
      <x:c r="B805">
        <x:v>1.8469743097721699E-2</x:v>
      </x:c>
      <x:c r="C805" t="s">
        <x:v>10</x:v>
      </x:c>
      <x:c r="D805" t="s">
        <x:v>11</x:v>
      </x:c>
      <x:c r="E805" t="s">
        <x:v>193</x:v>
      </x:c>
      <x:c r="F805" t="s">
        <x:v>13</x:v>
      </x:c>
      <x:c r="G805" t="s">
        <x:v>14</x:v>
      </x:c>
      <x:c r="H805" t="s">
        <x:v>15</x:v>
      </x:c>
      <x:c r="I805" t="s">
        <x:v>45</x:v>
      </x:c>
    </x:row>
    <x:row r="806">
      <x:c r="A806" t="s">
        <x:v>20</x:v>
      </x:c>
      <x:c r="B806">
        <x:v>3515228618752</x:v>
      </x:c>
      <x:c r="C806" t="s">
        <x:v>10</x:v>
      </x:c>
      <x:c r="D806" t="s">
        <x:v>11</x:v>
      </x:c>
      <x:c r="E806" t="s">
        <x:v>193</x:v>
      </x:c>
      <x:c r="F806" t="s">
        <x:v>13</x:v>
      </x:c>
      <x:c r="G806" t="s">
        <x:v>14</x:v>
      </x:c>
      <x:c r="H806" t="s">
        <x:v>15</x:v>
      </x:c>
      <x:c r="I806" t="s">
        <x:v>45</x:v>
      </x:c>
    </x:row>
    <x:row r="807">
      <x:c r="A807" t="s">
        <x:v>9</x:v>
      </x:c>
      <x:c r="B807">
        <x:v>0.98818734945919295</x:v>
      </x:c>
      <x:c r="C807" t="s">
        <x:v>10</x:v>
      </x:c>
      <x:c r="D807" t="s">
        <x:v>21</x:v>
      </x:c>
      <x:c r="E807" t="s">
        <x:v>194</x:v>
      </x:c>
      <x:c r="F807" t="s">
        <x:v>13</x:v>
      </x:c>
      <x:c r="G807" t="s">
        <x:v>14</x:v>
      </x:c>
      <x:c r="H807" t="s">
        <x:v>15</x:v>
      </x:c>
      <x:c r="I807" t="s">
        <x:v>45</x:v>
      </x:c>
    </x:row>
    <x:row r="808">
      <x:c r="A808" t="s">
        <x:v>17</x:v>
      </x:c>
      <x:c r="B808">
        <x:v>3.6741299554705598E-3</x:v>
      </x:c>
      <x:c r="C808" t="s">
        <x:v>10</x:v>
      </x:c>
      <x:c r="D808" t="s">
        <x:v>21</x:v>
      </x:c>
      <x:c r="E808" t="s">
        <x:v>194</x:v>
      </x:c>
      <x:c r="F808" t="s">
        <x:v>13</x:v>
      </x:c>
      <x:c r="G808" t="s">
        <x:v>14</x:v>
      </x:c>
      <x:c r="H808" t="s">
        <x:v>15</x:v>
      </x:c>
      <x:c r="I808" t="s">
        <x:v>45</x:v>
      </x:c>
    </x:row>
    <x:row r="809">
      <x:c r="A809" t="s">
        <x:v>18</x:v>
      </x:c>
      <x:c r="B809">
        <x:v>3.4113141009583999E-4</x:v>
      </x:c>
      <x:c r="C809" t="s">
        <x:v>10</x:v>
      </x:c>
      <x:c r="D809" t="s">
        <x:v>21</x:v>
      </x:c>
      <x:c r="E809" t="s">
        <x:v>194</x:v>
      </x:c>
      <x:c r="F809" t="s">
        <x:v>13</x:v>
      </x:c>
      <x:c r="G809" t="s">
        <x:v>14</x:v>
      </x:c>
      <x:c r="H809" t="s">
        <x:v>15</x:v>
      </x:c>
      <x:c r="I809" t="s">
        <x:v>45</x:v>
      </x:c>
    </x:row>
    <x:row r="810">
      <x:c r="A810" t="s">
        <x:v>19</x:v>
      </x:c>
      <x:c r="B810">
        <x:v>1.8469743097721699E-2</x:v>
      </x:c>
      <x:c r="C810" t="s">
        <x:v>10</x:v>
      </x:c>
      <x:c r="D810" t="s">
        <x:v>21</x:v>
      </x:c>
      <x:c r="E810" t="s">
        <x:v>194</x:v>
      </x:c>
      <x:c r="F810" t="s">
        <x:v>13</x:v>
      </x:c>
      <x:c r="G810" t="s">
        <x:v>14</x:v>
      </x:c>
      <x:c r="H810" t="s">
        <x:v>15</x:v>
      </x:c>
      <x:c r="I810" t="s">
        <x:v>45</x:v>
      </x:c>
    </x:row>
    <x:row r="811">
      <x:c r="A811" t="s">
        <x:v>20</x:v>
      </x:c>
      <x:c r="B811">
        <x:v>3515228618752</x:v>
      </x:c>
      <x:c r="C811" t="s">
        <x:v>10</x:v>
      </x:c>
      <x:c r="D811" t="s">
        <x:v>21</x:v>
      </x:c>
      <x:c r="E811" t="s">
        <x:v>194</x:v>
      </x:c>
      <x:c r="F811" t="s">
        <x:v>13</x:v>
      </x:c>
      <x:c r="G811" t="s">
        <x:v>14</x:v>
      </x:c>
      <x:c r="H811" t="s">
        <x:v>15</x:v>
      </x:c>
      <x:c r="I811" t="s">
        <x:v>45</x:v>
      </x:c>
    </x:row>
    <x:row r="812">
      <x:c r="A812" t="s">
        <x:v>9</x:v>
      </x:c>
      <x:c r="B812">
        <x:v>0.64309265563161</x:v>
      </x:c>
      <x:c r="C812" t="s">
        <x:v>23</x:v>
      </x:c>
      <x:c r="D812" t="s">
        <x:v>21</x:v>
      </x:c>
      <x:c r="E812" t="s">
        <x:v>195</x:v>
      </x:c>
      <x:c r="F812" t="s">
        <x:v>13</x:v>
      </x:c>
      <x:c r="G812" t="s">
        <x:v>14</x:v>
      </x:c>
      <x:c r="H812" t="s">
        <x:v>15</x:v>
      </x:c>
      <x:c r="I812" t="s">
        <x:v>45</x:v>
      </x:c>
    </x:row>
    <x:row r="813">
      <x:c r="A813" t="s">
        <x:v>17</x:v>
      </x:c>
      <x:c r="B813">
        <x:v>0.418788522481918</x:v>
      </x:c>
      <x:c r="C813" t="s">
        <x:v>23</x:v>
      </x:c>
      <x:c r="D813" t="s">
        <x:v>21</x:v>
      </x:c>
      <x:c r="E813" t="s">
        <x:v>195</x:v>
      </x:c>
      <x:c r="F813" t="s">
        <x:v>13</x:v>
      </x:c>
      <x:c r="G813" t="s">
        <x:v>14</x:v>
      </x:c>
      <x:c r="H813" t="s">
        <x:v>15</x:v>
      </x:c>
      <x:c r="I813" t="s">
        <x:v>45</x:v>
      </x:c>
    </x:row>
    <x:row r="814">
      <x:c r="A814" t="s">
        <x:v>18</x:v>
      </x:c>
      <x:c r="B814">
        <x:v>0.50249034166336004</x:v>
      </x:c>
      <x:c r="C814" t="s">
        <x:v>23</x:v>
      </x:c>
      <x:c r="D814" t="s">
        <x:v>21</x:v>
      </x:c>
      <x:c r="E814" t="s">
        <x:v>195</x:v>
      </x:c>
      <x:c r="F814" t="s">
        <x:v>13</x:v>
      </x:c>
      <x:c r="G814" t="s">
        <x:v>14</x:v>
      </x:c>
      <x:c r="H814" t="s">
        <x:v>15</x:v>
      </x:c>
      <x:c r="I814" t="s">
        <x:v>45</x:v>
      </x:c>
    </x:row>
    <x:row r="815">
      <x:c r="A815" t="s">
        <x:v>19</x:v>
      </x:c>
      <x:c r="B815">
        <x:v>0.70886553143975095</x:v>
      </x:c>
      <x:c r="C815" t="s">
        <x:v>23</x:v>
      </x:c>
      <x:c r="D815" t="s">
        <x:v>21</x:v>
      </x:c>
      <x:c r="E815" t="s">
        <x:v>195</x:v>
      </x:c>
      <x:c r="F815" t="s">
        <x:v>13</x:v>
      </x:c>
      <x:c r="G815" t="s">
        <x:v>14</x:v>
      </x:c>
      <x:c r="H815" t="s">
        <x:v>15</x:v>
      </x:c>
      <x:c r="I815" t="s">
        <x:v>45</x:v>
      </x:c>
    </x:row>
    <x:row r="816">
      <x:c r="A816" t="s">
        <x:v>20</x:v>
      </x:c>
      <x:c r="B816">
        <x:v>484206626996224</x:v>
      </x:c>
      <x:c r="C816" t="s">
        <x:v>23</x:v>
      </x:c>
      <x:c r="D816" t="s">
        <x:v>21</x:v>
      </x:c>
      <x:c r="E816" t="s">
        <x:v>195</x:v>
      </x:c>
      <x:c r="F816" t="s">
        <x:v>13</x:v>
      </x:c>
      <x:c r="G816" t="s">
        <x:v>14</x:v>
      </x:c>
      <x:c r="H816" t="s">
        <x:v>15</x:v>
      </x:c>
      <x:c r="I816" t="s">
        <x:v>45</x:v>
      </x:c>
    </x:row>
    <x:row r="817">
      <x:c r="A817" t="s">
        <x:v>9</x:v>
      </x:c>
      <x:c r="B817">
        <x:v>0.64309265563161</x:v>
      </x:c>
      <x:c r="C817" t="s">
        <x:v>23</x:v>
      </x:c>
      <x:c r="D817" t="s">
        <x:v>11</x:v>
      </x:c>
      <x:c r="E817" t="s">
        <x:v>196</x:v>
      </x:c>
      <x:c r="F817" t="s">
        <x:v>13</x:v>
      </x:c>
      <x:c r="G817" t="s">
        <x:v>14</x:v>
      </x:c>
      <x:c r="H817" t="s">
        <x:v>15</x:v>
      </x:c>
      <x:c r="I817" t="s">
        <x:v>45</x:v>
      </x:c>
    </x:row>
    <x:row r="818">
      <x:c r="A818" t="s">
        <x:v>17</x:v>
      </x:c>
      <x:c r="B818">
        <x:v>0.418788522481918</x:v>
      </x:c>
      <x:c r="C818" t="s">
        <x:v>23</x:v>
      </x:c>
      <x:c r="D818" t="s">
        <x:v>11</x:v>
      </x:c>
      <x:c r="E818" t="s">
        <x:v>196</x:v>
      </x:c>
      <x:c r="F818" t="s">
        <x:v>13</x:v>
      </x:c>
      <x:c r="G818" t="s">
        <x:v>14</x:v>
      </x:c>
      <x:c r="H818" t="s">
        <x:v>15</x:v>
      </x:c>
      <x:c r="I818" t="s">
        <x:v>45</x:v>
      </x:c>
    </x:row>
    <x:row r="819">
      <x:c r="A819" t="s">
        <x:v>18</x:v>
      </x:c>
      <x:c r="B819">
        <x:v>0.50249034166336004</x:v>
      </x:c>
      <x:c r="C819" t="s">
        <x:v>23</x:v>
      </x:c>
      <x:c r="D819" t="s">
        <x:v>11</x:v>
      </x:c>
      <x:c r="E819" t="s">
        <x:v>196</x:v>
      </x:c>
      <x:c r="F819" t="s">
        <x:v>13</x:v>
      </x:c>
      <x:c r="G819" t="s">
        <x:v>14</x:v>
      </x:c>
      <x:c r="H819" t="s">
        <x:v>15</x:v>
      </x:c>
      <x:c r="I819" t="s">
        <x:v>45</x:v>
      </x:c>
    </x:row>
    <x:row r="820">
      <x:c r="A820" t="s">
        <x:v>19</x:v>
      </x:c>
      <x:c r="B820">
        <x:v>0.70886553143975095</x:v>
      </x:c>
      <x:c r="C820" t="s">
        <x:v>23</x:v>
      </x:c>
      <x:c r="D820" t="s">
        <x:v>11</x:v>
      </x:c>
      <x:c r="E820" t="s">
        <x:v>196</x:v>
      </x:c>
      <x:c r="F820" t="s">
        <x:v>13</x:v>
      </x:c>
      <x:c r="G820" t="s">
        <x:v>14</x:v>
      </x:c>
      <x:c r="H820" t="s">
        <x:v>15</x:v>
      </x:c>
      <x:c r="I820" t="s">
        <x:v>45</x:v>
      </x:c>
    </x:row>
    <x:row r="821">
      <x:c r="A821" t="s">
        <x:v>20</x:v>
      </x:c>
      <x:c r="B821">
        <x:v>484206626996224</x:v>
      </x:c>
      <x:c r="C821" t="s">
        <x:v>23</x:v>
      </x:c>
      <x:c r="D821" t="s">
        <x:v>11</x:v>
      </x:c>
      <x:c r="E821" t="s">
        <x:v>196</x:v>
      </x:c>
      <x:c r="F821" t="s">
        <x:v>13</x:v>
      </x:c>
      <x:c r="G821" t="s">
        <x:v>14</x:v>
      </x:c>
      <x:c r="H821" t="s">
        <x:v>15</x:v>
      </x:c>
      <x:c r="I821" t="s">
        <x:v>45</x:v>
      </x:c>
    </x:row>
    <x:row r="822">
      <x:c r="A822" t="s">
        <x:v>9</x:v>
      </x:c>
      <x:c r="B822">
        <x:v>0.84494226293326402</x:v>
      </x:c>
      <x:c r="C822" t="s">
        <x:v>10</x:v>
      </x:c>
      <x:c r="D822" t="s">
        <x:v>11</x:v>
      </x:c>
      <x:c r="E822" t="s">
        <x:v>197</x:v>
      </x:c>
      <x:c r="F822" t="s">
        <x:v>33</x:v>
      </x:c>
      <x:c r="G822" t="s">
        <x:v>14</x:v>
      </x:c>
      <x:c r="H822" t="s">
        <x:v>15</x:v>
      </x:c>
      <x:c r="I822" t="s">
        <x:v>35</x:v>
      </x:c>
    </x:row>
    <x:row r="823">
      <x:c r="A823" t="s">
        <x:v>17</x:v>
      </x:c>
      <x:c r="B823">
        <x:v>0.66344231367111195</x:v>
      </x:c>
      <x:c r="C823" t="s">
        <x:v>10</x:v>
      </x:c>
      <x:c r="D823" t="s">
        <x:v>11</x:v>
      </x:c>
      <x:c r="E823" t="s">
        <x:v>197</x:v>
      </x:c>
      <x:c r="F823" t="s">
        <x:v>33</x:v>
      </x:c>
      <x:c r="G823" t="s">
        <x:v>14</x:v>
      </x:c>
      <x:c r="H823" t="s">
        <x:v>15</x:v>
      </x:c>
      <x:c r="I823" t="s">
        <x:v>35</x:v>
      </x:c>
    </x:row>
    <x:row r="824">
      <x:c r="A824" t="s">
        <x:v>18</x:v>
      </x:c>
      <x:c r="B824">
        <x:v>0.69445610046386697</x:v>
      </x:c>
      <x:c r="C824" t="s">
        <x:v>10</x:v>
      </x:c>
      <x:c r="D824" t="s">
        <x:v>11</x:v>
      </x:c>
      <x:c r="E824" t="s">
        <x:v>197</x:v>
      </x:c>
      <x:c r="F824" t="s">
        <x:v>33</x:v>
      </x:c>
      <x:c r="G824" t="s">
        <x:v>14</x:v>
      </x:c>
      <x:c r="H824" t="s">
        <x:v>15</x:v>
      </x:c>
      <x:c r="I824" t="s">
        <x:v>35</x:v>
      </x:c>
    </x:row>
    <x:row r="825">
      <x:c r="A825" t="s">
        <x:v>19</x:v>
      </x:c>
      <x:c r="B825">
        <x:v>0.83334032691563997</x:v>
      </x:c>
      <x:c r="C825" t="s">
        <x:v>10</x:v>
      </x:c>
      <x:c r="D825" t="s">
        <x:v>11</x:v>
      </x:c>
      <x:c r="E825" t="s">
        <x:v>197</x:v>
      </x:c>
      <x:c r="F825" t="s">
        <x:v>33</x:v>
      </x:c>
      <x:c r="G825" t="s">
        <x:v>14</x:v>
      </x:c>
      <x:c r="H825" t="s">
        <x:v>15</x:v>
      </x:c>
      <x:c r="I825" t="s">
        <x:v>35</x:v>
      </x:c>
    </x:row>
    <x:row r="826">
      <x:c r="A826" t="s">
        <x:v>20</x:v>
      </x:c>
      <x:c r="B826">
        <x:v>647581466624</x:v>
      </x:c>
      <x:c r="C826" t="s">
        <x:v>10</x:v>
      </x:c>
      <x:c r="D826" t="s">
        <x:v>11</x:v>
      </x:c>
      <x:c r="E826" t="s">
        <x:v>197</x:v>
      </x:c>
      <x:c r="F826" t="s">
        <x:v>33</x:v>
      </x:c>
      <x:c r="G826" t="s">
        <x:v>14</x:v>
      </x:c>
      <x:c r="H826" t="s">
        <x:v>15</x:v>
      </x:c>
      <x:c r="I826" t="s">
        <x:v>35</x:v>
      </x:c>
    </x:row>
    <x:row r="827">
      <x:c r="A827" t="s">
        <x:v>9</x:v>
      </x:c>
      <x:c r="B827">
        <x:v>0.84494226293326402</x:v>
      </x:c>
      <x:c r="C827" t="s">
        <x:v>10</x:v>
      </x:c>
      <x:c r="D827" t="s">
        <x:v>21</x:v>
      </x:c>
      <x:c r="E827" t="s">
        <x:v>198</x:v>
      </x:c>
      <x:c r="F827" t="s">
        <x:v>33</x:v>
      </x:c>
      <x:c r="G827" t="s">
        <x:v>14</x:v>
      </x:c>
      <x:c r="H827" t="s">
        <x:v>15</x:v>
      </x:c>
      <x:c r="I827" t="s">
        <x:v>35</x:v>
      </x:c>
    </x:row>
    <x:row r="828">
      <x:c r="A828" t="s">
        <x:v>17</x:v>
      </x:c>
      <x:c r="B828">
        <x:v>0.66344231367111195</x:v>
      </x:c>
      <x:c r="C828" t="s">
        <x:v>10</x:v>
      </x:c>
      <x:c r="D828" t="s">
        <x:v>21</x:v>
      </x:c>
      <x:c r="E828" t="s">
        <x:v>198</x:v>
      </x:c>
      <x:c r="F828" t="s">
        <x:v>33</x:v>
      </x:c>
      <x:c r="G828" t="s">
        <x:v>14</x:v>
      </x:c>
      <x:c r="H828" t="s">
        <x:v>15</x:v>
      </x:c>
      <x:c r="I828" t="s">
        <x:v>35</x:v>
      </x:c>
    </x:row>
    <x:row r="829">
      <x:c r="A829" t="s">
        <x:v>18</x:v>
      </x:c>
      <x:c r="B829">
        <x:v>0.69445610046386697</x:v>
      </x:c>
      <x:c r="C829" t="s">
        <x:v>10</x:v>
      </x:c>
      <x:c r="D829" t="s">
        <x:v>21</x:v>
      </x:c>
      <x:c r="E829" t="s">
        <x:v>198</x:v>
      </x:c>
      <x:c r="F829" t="s">
        <x:v>33</x:v>
      </x:c>
      <x:c r="G829" t="s">
        <x:v>14</x:v>
      </x:c>
      <x:c r="H829" t="s">
        <x:v>15</x:v>
      </x:c>
      <x:c r="I829" t="s">
        <x:v>35</x:v>
      </x:c>
    </x:row>
    <x:row r="830">
      <x:c r="A830" t="s">
        <x:v>19</x:v>
      </x:c>
      <x:c r="B830">
        <x:v>0.83334032691563997</x:v>
      </x:c>
      <x:c r="C830" t="s">
        <x:v>10</x:v>
      </x:c>
      <x:c r="D830" t="s">
        <x:v>21</x:v>
      </x:c>
      <x:c r="E830" t="s">
        <x:v>198</x:v>
      </x:c>
      <x:c r="F830" t="s">
        <x:v>33</x:v>
      </x:c>
      <x:c r="G830" t="s">
        <x:v>14</x:v>
      </x:c>
      <x:c r="H830" t="s">
        <x:v>15</x:v>
      </x:c>
      <x:c r="I830" t="s">
        <x:v>35</x:v>
      </x:c>
    </x:row>
    <x:row r="831">
      <x:c r="A831" t="s">
        <x:v>20</x:v>
      </x:c>
      <x:c r="B831">
        <x:v>647581466624</x:v>
      </x:c>
      <x:c r="C831" t="s">
        <x:v>10</x:v>
      </x:c>
      <x:c r="D831" t="s">
        <x:v>21</x:v>
      </x:c>
      <x:c r="E831" t="s">
        <x:v>198</x:v>
      </x:c>
      <x:c r="F831" t="s">
        <x:v>33</x:v>
      </x:c>
      <x:c r="G831" t="s">
        <x:v>14</x:v>
      </x:c>
      <x:c r="H831" t="s">
        <x:v>15</x:v>
      </x:c>
      <x:c r="I831" t="s">
        <x:v>35</x:v>
      </x:c>
    </x:row>
    <x:row r="832">
      <x:c r="A832" t="s">
        <x:v>9</x:v>
      </x:c>
      <x:c r="B832">
        <x:v>-6.9900708300686801E-2</x:v>
      </x:c>
      <x:c r="C832" t="s">
        <x:v>23</x:v>
      </x:c>
      <x:c r="D832" t="s">
        <x:v>21</x:v>
      </x:c>
      <x:c r="E832" t="s">
        <x:v>199</x:v>
      </x:c>
      <x:c r="F832" t="s">
        <x:v>33</x:v>
      </x:c>
      <x:c r="G832" t="s">
        <x:v>14</x:v>
      </x:c>
      <x:c r="H832" t="s">
        <x:v>15</x:v>
      </x:c>
      <x:c r="I832" t="s">
        <x:v>35</x:v>
      </x:c>
    </x:row>
    <x:row r="833">
      <x:c r="A833" t="s">
        <x:v>17</x:v>
      </x:c>
      <x:c r="B833">
        <x:v>0.80871212482452304</x:v>
      </x:c>
      <x:c r="C833" t="s">
        <x:v>23</x:v>
      </x:c>
      <x:c r="D833" t="s">
        <x:v>21</x:v>
      </x:c>
      <x:c r="E833" t="s">
        <x:v>199</x:v>
      </x:c>
      <x:c r="F833" t="s">
        <x:v>33</x:v>
      </x:c>
      <x:c r="G833" t="s">
        <x:v>14</x:v>
      </x:c>
      <x:c r="H833" t="s">
        <x:v>15</x:v>
      </x:c>
      <x:c r="I833" t="s">
        <x:v>35</x:v>
      </x:c>
    </x:row>
    <x:row r="834">
      <x:c r="A834" t="s">
        <x:v>18</x:v>
      </x:c>
      <x:c r="B834">
        <x:v>1.0758419036865201</x:v>
      </x:c>
      <x:c r="C834" t="s">
        <x:v>23</x:v>
      </x:c>
      <x:c r="D834" t="s">
        <x:v>21</x:v>
      </x:c>
      <x:c r="E834" t="s">
        <x:v>199</x:v>
      </x:c>
      <x:c r="F834" t="s">
        <x:v>33</x:v>
      </x:c>
      <x:c r="G834" t="s">
        <x:v>14</x:v>
      </x:c>
      <x:c r="H834" t="s">
        <x:v>15</x:v>
      </x:c>
      <x:c r="I834" t="s">
        <x:v>35</x:v>
      </x:c>
    </x:row>
    <x:row r="835">
      <x:c r="A835" t="s">
        <x:v>19</x:v>
      </x:c>
      <x:c r="B835">
        <x:v>1.0372279902155099</x:v>
      </x:c>
      <x:c r="C835" t="s">
        <x:v>23</x:v>
      </x:c>
      <x:c r="D835" t="s">
        <x:v>21</x:v>
      </x:c>
      <x:c r="E835" t="s">
        <x:v>199</x:v>
      </x:c>
      <x:c r="F835" t="s">
        <x:v>33</x:v>
      </x:c>
      <x:c r="G835" t="s">
        <x:v>14</x:v>
      </x:c>
      <x:c r="H835" t="s">
        <x:v>15</x:v>
      </x:c>
      <x:c r="I835" t="s">
        <x:v>35</x:v>
      </x:c>
    </x:row>
    <x:row r="836">
      <x:c r="A836" t="s">
        <x:v>20</x:v>
      </x:c>
      <x:c r="B836">
        <x:v>1399669175353340</x:v>
      </x:c>
      <x:c r="C836" t="s">
        <x:v>23</x:v>
      </x:c>
      <x:c r="D836" t="s">
        <x:v>21</x:v>
      </x:c>
      <x:c r="E836" t="s">
        <x:v>199</x:v>
      </x:c>
      <x:c r="F836" t="s">
        <x:v>33</x:v>
      </x:c>
      <x:c r="G836" t="s">
        <x:v>14</x:v>
      </x:c>
      <x:c r="H836" t="s">
        <x:v>15</x:v>
      </x:c>
      <x:c r="I836" t="s">
        <x:v>35</x:v>
      </x:c>
    </x:row>
    <x:row r="837">
      <x:c r="A837" t="s">
        <x:v>9</x:v>
      </x:c>
      <x:c r="B837">
        <x:v>-6.9900708300686801E-2</x:v>
      </x:c>
      <x:c r="C837" t="s">
        <x:v>23</x:v>
      </x:c>
      <x:c r="D837" t="s">
        <x:v>11</x:v>
      </x:c>
      <x:c r="E837" t="s">
        <x:v>200</x:v>
      </x:c>
      <x:c r="F837" t="s">
        <x:v>33</x:v>
      </x:c>
      <x:c r="G837" t="s">
        <x:v>14</x:v>
      </x:c>
      <x:c r="H837" t="s">
        <x:v>15</x:v>
      </x:c>
      <x:c r="I837" t="s">
        <x:v>35</x:v>
      </x:c>
    </x:row>
    <x:row r="838">
      <x:c r="A838" t="s">
        <x:v>17</x:v>
      </x:c>
      <x:c r="B838">
        <x:v>0.80871212482452304</x:v>
      </x:c>
      <x:c r="C838" t="s">
        <x:v>23</x:v>
      </x:c>
      <x:c r="D838" t="s">
        <x:v>11</x:v>
      </x:c>
      <x:c r="E838" t="s">
        <x:v>200</x:v>
      </x:c>
      <x:c r="F838" t="s">
        <x:v>33</x:v>
      </x:c>
      <x:c r="G838" t="s">
        <x:v>14</x:v>
      </x:c>
      <x:c r="H838" t="s">
        <x:v>15</x:v>
      </x:c>
      <x:c r="I838" t="s">
        <x:v>35</x:v>
      </x:c>
    </x:row>
    <x:row r="839">
      <x:c r="A839" t="s">
        <x:v>18</x:v>
      </x:c>
      <x:c r="B839">
        <x:v>1.0758419036865201</x:v>
      </x:c>
      <x:c r="C839" t="s">
        <x:v>23</x:v>
      </x:c>
      <x:c r="D839" t="s">
        <x:v>11</x:v>
      </x:c>
      <x:c r="E839" t="s">
        <x:v>200</x:v>
      </x:c>
      <x:c r="F839" t="s">
        <x:v>33</x:v>
      </x:c>
      <x:c r="G839" t="s">
        <x:v>14</x:v>
      </x:c>
      <x:c r="H839" t="s">
        <x:v>15</x:v>
      </x:c>
      <x:c r="I839" t="s">
        <x:v>35</x:v>
      </x:c>
    </x:row>
    <x:row r="840">
      <x:c r="A840" t="s">
        <x:v>19</x:v>
      </x:c>
      <x:c r="B840">
        <x:v>1.0372279902155099</x:v>
      </x:c>
      <x:c r="C840" t="s">
        <x:v>23</x:v>
      </x:c>
      <x:c r="D840" t="s">
        <x:v>11</x:v>
      </x:c>
      <x:c r="E840" t="s">
        <x:v>200</x:v>
      </x:c>
      <x:c r="F840" t="s">
        <x:v>33</x:v>
      </x:c>
      <x:c r="G840" t="s">
        <x:v>14</x:v>
      </x:c>
      <x:c r="H840" t="s">
        <x:v>15</x:v>
      </x:c>
      <x:c r="I840" t="s">
        <x:v>35</x:v>
      </x:c>
    </x:row>
    <x:row r="841">
      <x:c r="A841" t="s">
        <x:v>20</x:v>
      </x:c>
      <x:c r="B841">
        <x:v>1399669175353340</x:v>
      </x:c>
      <x:c r="C841" t="s">
        <x:v>23</x:v>
      </x:c>
      <x:c r="D841" t="s">
        <x:v>11</x:v>
      </x:c>
      <x:c r="E841" t="s">
        <x:v>200</x:v>
      </x:c>
      <x:c r="F841" t="s">
        <x:v>33</x:v>
      </x:c>
      <x:c r="G841" t="s">
        <x:v>14</x:v>
      </x:c>
      <x:c r="H841" t="s">
        <x:v>15</x:v>
      </x:c>
      <x:c r="I841" t="s">
        <x:v>35</x:v>
      </x:c>
    </x:row>
    <x:row r="842">
      <x:c r="A842" t="s">
        <x:v>9</x:v>
      </x:c>
      <x:c r="B842">
        <x:v>0.90719704423457803</x:v>
      </x:c>
      <x:c r="C842" t="s">
        <x:v>10</x:v>
      </x:c>
      <x:c r="D842" t="s">
        <x:v>11</x:v>
      </x:c>
      <x:c r="E842" t="s">
        <x:v>201</x:v>
      </x:c>
      <x:c r="F842" t="s">
        <x:v>33</x:v>
      </x:c>
      <x:c r="G842" t="s">
        <x:v>14</x:v>
      </x:c>
      <x:c r="H842" t="s">
        <x:v>15</x:v>
      </x:c>
      <x:c r="I842" t="s">
        <x:v>45</x:v>
      </x:c>
    </x:row>
    <x:row r="843">
      <x:c r="A843" t="s">
        <x:v>17</x:v>
      </x:c>
      <x:c r="B843">
        <x:v>0.161364585161209</x:v>
      </x:c>
      <x:c r="C843" t="s">
        <x:v>10</x:v>
      </x:c>
      <x:c r="D843" t="s">
        <x:v>11</x:v>
      </x:c>
      <x:c r="E843" t="s">
        <x:v>201</x:v>
      </x:c>
      <x:c r="F843" t="s">
        <x:v>33</x:v>
      </x:c>
      <x:c r="G843" t="s">
        <x:v>14</x:v>
      </x:c>
      <x:c r="H843" t="s">
        <x:v>15</x:v>
      </x:c>
      <x:c r="I843" t="s">
        <x:v>45</x:v>
      </x:c>
    </x:row>
    <x:row r="844">
      <x:c r="A844" t="s">
        <x:v>18</x:v>
      </x:c>
      <x:c r="B844">
        <x:v>5.6535672396421398E-2</x:v>
      </x:c>
      <x:c r="C844" t="s">
        <x:v>10</x:v>
      </x:c>
      <x:c r="D844" t="s">
        <x:v>11</x:v>
      </x:c>
      <x:c r="E844" t="s">
        <x:v>201</x:v>
      </x:c>
      <x:c r="F844" t="s">
        <x:v>33</x:v>
      </x:c>
      <x:c r="G844" t="s">
        <x:v>14</x:v>
      </x:c>
      <x:c r="H844" t="s">
        <x:v>15</x:v>
      </x:c>
      <x:c r="I844" t="s">
        <x:v>45</x:v>
      </x:c>
    </x:row>
    <x:row r="845">
      <x:c r="A845" t="s">
        <x:v>19</x:v>
      </x:c>
      <x:c r="B845">
        <x:v>0.237772312089573</x:v>
      </x:c>
      <x:c r="C845" t="s">
        <x:v>10</x:v>
      </x:c>
      <x:c r="D845" t="s">
        <x:v>11</x:v>
      </x:c>
      <x:c r="E845" t="s">
        <x:v>201</x:v>
      </x:c>
      <x:c r="F845" t="s">
        <x:v>33</x:v>
      </x:c>
      <x:c r="G845" t="s">
        <x:v>14</x:v>
      </x:c>
      <x:c r="H845" t="s">
        <x:v>15</x:v>
      </x:c>
      <x:c r="I845" t="s">
        <x:v>45</x:v>
      </x:c>
    </x:row>
    <x:row r="846">
      <x:c r="A846" t="s">
        <x:v>20</x:v>
      </x:c>
      <x:c r="B846">
        <x:v>104045238812672</x:v>
      </x:c>
      <x:c r="C846" t="s">
        <x:v>10</x:v>
      </x:c>
      <x:c r="D846" t="s">
        <x:v>11</x:v>
      </x:c>
      <x:c r="E846" t="s">
        <x:v>201</x:v>
      </x:c>
      <x:c r="F846" t="s">
        <x:v>33</x:v>
      </x:c>
      <x:c r="G846" t="s">
        <x:v>14</x:v>
      </x:c>
      <x:c r="H846" t="s">
        <x:v>15</x:v>
      </x:c>
      <x:c r="I846" t="s">
        <x:v>45</x:v>
      </x:c>
    </x:row>
    <x:row r="847">
      <x:c r="A847" t="s">
        <x:v>9</x:v>
      </x:c>
      <x:c r="B847">
        <x:v>0.90719704423457803</x:v>
      </x:c>
      <x:c r="C847" t="s">
        <x:v>10</x:v>
      </x:c>
      <x:c r="D847" t="s">
        <x:v>21</x:v>
      </x:c>
      <x:c r="E847" t="s">
        <x:v>202</x:v>
      </x:c>
      <x:c r="F847" t="s">
        <x:v>33</x:v>
      </x:c>
      <x:c r="G847" t="s">
        <x:v>14</x:v>
      </x:c>
      <x:c r="H847" t="s">
        <x:v>15</x:v>
      </x:c>
      <x:c r="I847" t="s">
        <x:v>45</x:v>
      </x:c>
    </x:row>
    <x:row r="848">
      <x:c r="A848" t="s">
        <x:v>17</x:v>
      </x:c>
      <x:c r="B848">
        <x:v>0.161364585161209</x:v>
      </x:c>
      <x:c r="C848" t="s">
        <x:v>10</x:v>
      </x:c>
      <x:c r="D848" t="s">
        <x:v>21</x:v>
      </x:c>
      <x:c r="E848" t="s">
        <x:v>202</x:v>
      </x:c>
      <x:c r="F848" t="s">
        <x:v>33</x:v>
      </x:c>
      <x:c r="G848" t="s">
        <x:v>14</x:v>
      </x:c>
      <x:c r="H848" t="s">
        <x:v>15</x:v>
      </x:c>
      <x:c r="I848" t="s">
        <x:v>45</x:v>
      </x:c>
    </x:row>
    <x:row r="849">
      <x:c r="A849" t="s">
        <x:v>18</x:v>
      </x:c>
      <x:c r="B849">
        <x:v>5.6535672396421398E-2</x:v>
      </x:c>
      <x:c r="C849" t="s">
        <x:v>10</x:v>
      </x:c>
      <x:c r="D849" t="s">
        <x:v>21</x:v>
      </x:c>
      <x:c r="E849" t="s">
        <x:v>202</x:v>
      </x:c>
      <x:c r="F849" t="s">
        <x:v>33</x:v>
      </x:c>
      <x:c r="G849" t="s">
        <x:v>14</x:v>
      </x:c>
      <x:c r="H849" t="s">
        <x:v>15</x:v>
      </x:c>
      <x:c r="I849" t="s">
        <x:v>45</x:v>
      </x:c>
    </x:row>
    <x:row r="850">
      <x:c r="A850" t="s">
        <x:v>19</x:v>
      </x:c>
      <x:c r="B850">
        <x:v>0.237772312089573</x:v>
      </x:c>
      <x:c r="C850" t="s">
        <x:v>10</x:v>
      </x:c>
      <x:c r="D850" t="s">
        <x:v>21</x:v>
      </x:c>
      <x:c r="E850" t="s">
        <x:v>202</x:v>
      </x:c>
      <x:c r="F850" t="s">
        <x:v>33</x:v>
      </x:c>
      <x:c r="G850" t="s">
        <x:v>14</x:v>
      </x:c>
      <x:c r="H850" t="s">
        <x:v>15</x:v>
      </x:c>
      <x:c r="I850" t="s">
        <x:v>45</x:v>
      </x:c>
    </x:row>
    <x:row r="851">
      <x:c r="A851" t="s">
        <x:v>20</x:v>
      </x:c>
      <x:c r="B851">
        <x:v>104045238812672</x:v>
      </x:c>
      <x:c r="C851" t="s">
        <x:v>10</x:v>
      </x:c>
      <x:c r="D851" t="s">
        <x:v>21</x:v>
      </x:c>
      <x:c r="E851" t="s">
        <x:v>202</x:v>
      </x:c>
      <x:c r="F851" t="s">
        <x:v>33</x:v>
      </x:c>
      <x:c r="G851" t="s">
        <x:v>14</x:v>
      </x:c>
      <x:c r="H851" t="s">
        <x:v>15</x:v>
      </x:c>
      <x:c r="I851" t="s">
        <x:v>45</x:v>
      </x:c>
    </x:row>
    <x:row r="852">
      <x:c r="A852" t="s">
        <x:v>9</x:v>
      </x:c>
      <x:c r="B852">
        <x:v>0.89511737329443597</x:v>
      </x:c>
      <x:c r="C852" t="s">
        <x:v>23</x:v>
      </x:c>
      <x:c r="D852" t="s">
        <x:v>21</x:v>
      </x:c>
      <x:c r="E852" t="s">
        <x:v>203</x:v>
      </x:c>
      <x:c r="F852" t="s">
        <x:v>33</x:v>
      </x:c>
      <x:c r="G852" t="s">
        <x:v>14</x:v>
      </x:c>
      <x:c r="H852" t="s">
        <x:v>15</x:v>
      </x:c>
      <x:c r="I852" t="s">
        <x:v>45</x:v>
      </x:c>
    </x:row>
    <x:row r="853">
      <x:c r="A853" t="s">
        <x:v>17</x:v>
      </x:c>
      <x:c r="B853">
        <x:v>0.33379629254341098</x:v>
      </x:c>
      <x:c r="C853" t="s">
        <x:v>23</x:v>
      </x:c>
      <x:c r="D853" t="s">
        <x:v>21</x:v>
      </x:c>
      <x:c r="E853" t="s">
        <x:v>203</x:v>
      </x:c>
      <x:c r="F853" t="s">
        <x:v>33</x:v>
      </x:c>
      <x:c r="G853" t="s">
        <x:v>14</x:v>
      </x:c>
      <x:c r="H853" t="s">
        <x:v>15</x:v>
      </x:c>
      <x:c r="I853" t="s">
        <x:v>45</x:v>
      </x:c>
    </x:row>
    <x:row r="854">
      <x:c r="A854" t="s">
        <x:v>18</x:v>
      </x:c>
      <x:c r="B854">
        <x:v>0.351624816656112</x:v>
      </x:c>
      <x:c r="C854" t="s">
        <x:v>23</x:v>
      </x:c>
      <x:c r="D854" t="s">
        <x:v>21</x:v>
      </x:c>
      <x:c r="E854" t="s">
        <x:v>203</x:v>
      </x:c>
      <x:c r="F854" t="s">
        <x:v>33</x:v>
      </x:c>
      <x:c r="G854" t="s">
        <x:v>14</x:v>
      </x:c>
      <x:c r="H854" t="s">
        <x:v>15</x:v>
      </x:c>
      <x:c r="I854" t="s">
        <x:v>45</x:v>
      </x:c>
    </x:row>
    <x:row r="855">
      <x:c r="A855" t="s">
        <x:v>19</x:v>
      </x:c>
      <x:c r="B855">
        <x:v>0.59297960897159996</x:v>
      </x:c>
      <x:c r="C855" t="s">
        <x:v>23</x:v>
      </x:c>
      <x:c r="D855" t="s">
        <x:v>21</x:v>
      </x:c>
      <x:c r="E855" t="s">
        <x:v>203</x:v>
      </x:c>
      <x:c r="F855" t="s">
        <x:v>33</x:v>
      </x:c>
      <x:c r="G855" t="s">
        <x:v>14</x:v>
      </x:c>
      <x:c r="H855" t="s">
        <x:v>15</x:v>
      </x:c>
      <x:c r="I855" t="s">
        <x:v>45</x:v>
      </x:c>
    </x:row>
    <x:row r="856">
      <x:c r="A856" t="s">
        <x:v>20</x:v>
      </x:c>
      <x:c r="B856">
        <x:v>117195380097024</x:v>
      </x:c>
      <x:c r="C856" t="s">
        <x:v>23</x:v>
      </x:c>
      <x:c r="D856" t="s">
        <x:v>21</x:v>
      </x:c>
      <x:c r="E856" t="s">
        <x:v>203</x:v>
      </x:c>
      <x:c r="F856" t="s">
        <x:v>33</x:v>
      </x:c>
      <x:c r="G856" t="s">
        <x:v>14</x:v>
      </x:c>
      <x:c r="H856" t="s">
        <x:v>15</x:v>
      </x:c>
      <x:c r="I856" t="s">
        <x:v>45</x:v>
      </x:c>
    </x:row>
    <x:row r="857">
      <x:c r="A857" t="s">
        <x:v>9</x:v>
      </x:c>
      <x:c r="B857">
        <x:v>0.89511737329443597</x:v>
      </x:c>
      <x:c r="C857" t="s">
        <x:v>23</x:v>
      </x:c>
      <x:c r="D857" t="s">
        <x:v>11</x:v>
      </x:c>
      <x:c r="E857" t="s">
        <x:v>204</x:v>
      </x:c>
      <x:c r="F857" t="s">
        <x:v>33</x:v>
      </x:c>
      <x:c r="G857" t="s">
        <x:v>14</x:v>
      </x:c>
      <x:c r="H857" t="s">
        <x:v>15</x:v>
      </x:c>
      <x:c r="I857" t="s">
        <x:v>45</x:v>
      </x:c>
    </x:row>
    <x:row r="858">
      <x:c r="A858" t="s">
        <x:v>17</x:v>
      </x:c>
      <x:c r="B858">
        <x:v>0.33379629254341098</x:v>
      </x:c>
      <x:c r="C858" t="s">
        <x:v>23</x:v>
      </x:c>
      <x:c r="D858" t="s">
        <x:v>11</x:v>
      </x:c>
      <x:c r="E858" t="s">
        <x:v>204</x:v>
      </x:c>
      <x:c r="F858" t="s">
        <x:v>33</x:v>
      </x:c>
      <x:c r="G858" t="s">
        <x:v>14</x:v>
      </x:c>
      <x:c r="H858" t="s">
        <x:v>15</x:v>
      </x:c>
      <x:c r="I858" t="s">
        <x:v>45</x:v>
      </x:c>
    </x:row>
    <x:row r="859">
      <x:c r="A859" t="s">
        <x:v>18</x:v>
      </x:c>
      <x:c r="B859">
        <x:v>0.351624816656112</x:v>
      </x:c>
      <x:c r="C859" t="s">
        <x:v>23</x:v>
      </x:c>
      <x:c r="D859" t="s">
        <x:v>11</x:v>
      </x:c>
      <x:c r="E859" t="s">
        <x:v>204</x:v>
      </x:c>
      <x:c r="F859" t="s">
        <x:v>33</x:v>
      </x:c>
      <x:c r="G859" t="s">
        <x:v>14</x:v>
      </x:c>
      <x:c r="H859" t="s">
        <x:v>15</x:v>
      </x:c>
      <x:c r="I859" t="s">
        <x:v>45</x:v>
      </x:c>
    </x:row>
    <x:row r="860">
      <x:c r="A860" t="s">
        <x:v>19</x:v>
      </x:c>
      <x:c r="B860">
        <x:v>0.59297960897159996</x:v>
      </x:c>
      <x:c r="C860" t="s">
        <x:v>23</x:v>
      </x:c>
      <x:c r="D860" t="s">
        <x:v>11</x:v>
      </x:c>
      <x:c r="E860" t="s">
        <x:v>204</x:v>
      </x:c>
      <x:c r="F860" t="s">
        <x:v>33</x:v>
      </x:c>
      <x:c r="G860" t="s">
        <x:v>14</x:v>
      </x:c>
      <x:c r="H860" t="s">
        <x:v>15</x:v>
      </x:c>
      <x:c r="I860" t="s">
        <x:v>45</x:v>
      </x:c>
    </x:row>
    <x:row r="861">
      <x:c r="A861" t="s">
        <x:v>20</x:v>
      </x:c>
      <x:c r="B861">
        <x:v>117195380097024</x:v>
      </x:c>
      <x:c r="C861" t="s">
        <x:v>23</x:v>
      </x:c>
      <x:c r="D861" t="s">
        <x:v>11</x:v>
      </x:c>
      <x:c r="E861" t="s">
        <x:v>204</x:v>
      </x:c>
      <x:c r="F861" t="s">
        <x:v>33</x:v>
      </x:c>
      <x:c r="G861" t="s">
        <x:v>14</x:v>
      </x:c>
      <x:c r="H861" t="s">
        <x:v>15</x:v>
      </x:c>
      <x:c r="I861" t="s">
        <x:v>45</x:v>
      </x:c>
    </x:row>
    <x:row r="862">
      <x:c r="A862" t="s">
        <x:v>9</x:v>
      </x:c>
      <x:c r="B862">
        <x:v>0.969816487282399</x:v>
      </x:c>
      <x:c r="C862" t="s">
        <x:v>10</x:v>
      </x:c>
      <x:c r="D862" t="s">
        <x:v>11</x:v>
      </x:c>
      <x:c r="E862" t="s">
        <x:v>205</x:v>
      </x:c>
      <x:c r="F862" t="s">
        <x:v>13</x:v>
      </x:c>
      <x:c r="G862" t="s">
        <x:v>27</x:v>
      </x:c>
      <x:c r="H862" t="s">
        <x:v>15</x:v>
      </x:c>
      <x:c r="I862" t="s">
        <x:v>45</x:v>
      </x:c>
    </x:row>
    <x:row r="863">
      <x:c r="A863" t="s">
        <x:v>17</x:v>
      </x:c>
      <x:c r="B863">
        <x:v>3.62279489636421E-2</x:v>
      </x:c>
      <x:c r="C863" t="s">
        <x:v>10</x:v>
      </x:c>
      <x:c r="D863" t="s">
        <x:v>11</x:v>
      </x:c>
      <x:c r="E863" t="s">
        <x:v>205</x:v>
      </x:c>
      <x:c r="F863" t="s">
        <x:v>13</x:v>
      </x:c>
      <x:c r="G863" t="s">
        <x:v>27</x:v>
      </x:c>
      <x:c r="H863" t="s">
        <x:v>15</x:v>
      </x:c>
      <x:c r="I863" t="s">
        <x:v>45</x:v>
      </x:c>
    </x:row>
    <x:row r="864">
      <x:c r="A864" t="s">
        <x:v>18</x:v>
      </x:c>
      <x:c r="B864">
        <x:v>6.2831621617078703E-3</x:v>
      </x:c>
      <x:c r="C864" t="s">
        <x:v>10</x:v>
      </x:c>
      <x:c r="D864" t="s">
        <x:v>11</x:v>
      </x:c>
      <x:c r="E864" t="s">
        <x:v>205</x:v>
      </x:c>
      <x:c r="F864" t="s">
        <x:v>13</x:v>
      </x:c>
      <x:c r="G864" t="s">
        <x:v>27</x:v>
      </x:c>
      <x:c r="H864" t="s">
        <x:v>15</x:v>
      </x:c>
      <x:c r="I864" t="s">
        <x:v>45</x:v>
      </x:c>
    </x:row>
    <x:row r="865">
      <x:c r="A865" t="s">
        <x:v>19</x:v>
      </x:c>
      <x:c r="B865">
        <x:v>7.9266399954254704E-2</x:v>
      </x:c>
      <x:c r="C865" t="s">
        <x:v>10</x:v>
      </x:c>
      <x:c r="D865" t="s">
        <x:v>11</x:v>
      </x:c>
      <x:c r="E865" t="s">
        <x:v>205</x:v>
      </x:c>
      <x:c r="F865" t="s">
        <x:v>13</x:v>
      </x:c>
      <x:c r="G865" t="s">
        <x:v>27</x:v>
      </x:c>
      <x:c r="H865" t="s">
        <x:v>15</x:v>
      </x:c>
      <x:c r="I865" t="s">
        <x:v>45</x:v>
      </x:c>
    </x:row>
    <x:row r="866">
      <x:c r="A866" t="s">
        <x:v>20</x:v>
      </x:c>
      <x:c r="B866">
        <x:v>21898245177344</x:v>
      </x:c>
      <x:c r="C866" t="s">
        <x:v>10</x:v>
      </x:c>
      <x:c r="D866" t="s">
        <x:v>11</x:v>
      </x:c>
      <x:c r="E866" t="s">
        <x:v>205</x:v>
      </x:c>
      <x:c r="F866" t="s">
        <x:v>13</x:v>
      </x:c>
      <x:c r="G866" t="s">
        <x:v>27</x:v>
      </x:c>
      <x:c r="H866" t="s">
        <x:v>15</x:v>
      </x:c>
      <x:c r="I866" t="s">
        <x:v>45</x:v>
      </x:c>
    </x:row>
    <x:row r="867">
      <x:c r="A867" t="s">
        <x:v>9</x:v>
      </x:c>
      <x:c r="B867">
        <x:v>0.969816487282399</x:v>
      </x:c>
      <x:c r="C867" t="s">
        <x:v>10</x:v>
      </x:c>
      <x:c r="D867" t="s">
        <x:v>21</x:v>
      </x:c>
      <x:c r="E867" t="s">
        <x:v>206</x:v>
      </x:c>
      <x:c r="F867" t="s">
        <x:v>13</x:v>
      </x:c>
      <x:c r="G867" t="s">
        <x:v>27</x:v>
      </x:c>
      <x:c r="H867" t="s">
        <x:v>15</x:v>
      </x:c>
      <x:c r="I867" t="s">
        <x:v>45</x:v>
      </x:c>
    </x:row>
    <x:row r="868">
      <x:c r="A868" t="s">
        <x:v>17</x:v>
      </x:c>
      <x:c r="B868">
        <x:v>3.62279489636421E-2</x:v>
      </x:c>
      <x:c r="C868" t="s">
        <x:v>10</x:v>
      </x:c>
      <x:c r="D868" t="s">
        <x:v>21</x:v>
      </x:c>
      <x:c r="E868" t="s">
        <x:v>206</x:v>
      </x:c>
      <x:c r="F868" t="s">
        <x:v>13</x:v>
      </x:c>
      <x:c r="G868" t="s">
        <x:v>27</x:v>
      </x:c>
      <x:c r="H868" t="s">
        <x:v>15</x:v>
      </x:c>
      <x:c r="I868" t="s">
        <x:v>45</x:v>
      </x:c>
    </x:row>
    <x:row r="869">
      <x:c r="A869" t="s">
        <x:v>18</x:v>
      </x:c>
      <x:c r="B869">
        <x:v>6.2831621617078703E-3</x:v>
      </x:c>
      <x:c r="C869" t="s">
        <x:v>10</x:v>
      </x:c>
      <x:c r="D869" t="s">
        <x:v>21</x:v>
      </x:c>
      <x:c r="E869" t="s">
        <x:v>206</x:v>
      </x:c>
      <x:c r="F869" t="s">
        <x:v>13</x:v>
      </x:c>
      <x:c r="G869" t="s">
        <x:v>27</x:v>
      </x:c>
      <x:c r="H869" t="s">
        <x:v>15</x:v>
      </x:c>
      <x:c r="I869" t="s">
        <x:v>45</x:v>
      </x:c>
    </x:row>
    <x:row r="870">
      <x:c r="A870" t="s">
        <x:v>19</x:v>
      </x:c>
      <x:c r="B870">
        <x:v>7.9266399954254704E-2</x:v>
      </x:c>
      <x:c r="C870" t="s">
        <x:v>10</x:v>
      </x:c>
      <x:c r="D870" t="s">
        <x:v>21</x:v>
      </x:c>
      <x:c r="E870" t="s">
        <x:v>206</x:v>
      </x:c>
      <x:c r="F870" t="s">
        <x:v>13</x:v>
      </x:c>
      <x:c r="G870" t="s">
        <x:v>27</x:v>
      </x:c>
      <x:c r="H870" t="s">
        <x:v>15</x:v>
      </x:c>
      <x:c r="I870" t="s">
        <x:v>45</x:v>
      </x:c>
    </x:row>
    <x:row r="871">
      <x:c r="A871" t="s">
        <x:v>20</x:v>
      </x:c>
      <x:c r="B871">
        <x:v>21898245177344</x:v>
      </x:c>
      <x:c r="C871" t="s">
        <x:v>10</x:v>
      </x:c>
      <x:c r="D871" t="s">
        <x:v>21</x:v>
      </x:c>
      <x:c r="E871" t="s">
        <x:v>206</x:v>
      </x:c>
      <x:c r="F871" t="s">
        <x:v>13</x:v>
      </x:c>
      <x:c r="G871" t="s">
        <x:v>27</x:v>
      </x:c>
      <x:c r="H871" t="s">
        <x:v>15</x:v>
      </x:c>
      <x:c r="I871" t="s">
        <x:v>45</x:v>
      </x:c>
    </x:row>
    <x:row r="872">
      <x:c r="A872" t="s">
        <x:v>9</x:v>
      </x:c>
      <x:c r="B872">
        <x:v>0.90819797729512497</x:v>
      </x:c>
      <x:c r="C872" t="s">
        <x:v>23</x:v>
      </x:c>
      <x:c r="D872" t="s">
        <x:v>21</x:v>
      </x:c>
      <x:c r="E872" t="s">
        <x:v>207</x:v>
      </x:c>
      <x:c r="F872" t="s">
        <x:v>13</x:v>
      </x:c>
      <x:c r="G872" t="s">
        <x:v>27</x:v>
      </x:c>
      <x:c r="H872" t="s">
        <x:v>15</x:v>
      </x:c>
      <x:c r="I872" t="s">
        <x:v>45</x:v>
      </x:c>
    </x:row>
    <x:row r="873">
      <x:c r="A873" t="s">
        <x:v>17</x:v>
      </x:c>
      <x:c r="B873">
        <x:v>0.23444826900959001</x:v>
      </x:c>
      <x:c r="C873" t="s">
        <x:v>23</x:v>
      </x:c>
      <x:c r="D873" t="s">
        <x:v>21</x:v>
      </x:c>
      <x:c r="E873" t="s">
        <x:v>207</x:v>
      </x:c>
      <x:c r="F873" t="s">
        <x:v>13</x:v>
      </x:c>
      <x:c r="G873" t="s">
        <x:v>27</x:v>
      </x:c>
      <x:c r="H873" t="s">
        <x:v>15</x:v>
      </x:c>
      <x:c r="I873" t="s">
        <x:v>45</x:v>
      </x:c>
    </x:row>
    <x:row r="874">
      <x:c r="A874" t="s">
        <x:v>18</x:v>
      </x:c>
      <x:c r="B874">
        <x:v>0.200862646102905</x:v>
      </x:c>
      <x:c r="C874" t="s">
        <x:v>23</x:v>
      </x:c>
      <x:c r="D874" t="s">
        <x:v>21</x:v>
      </x:c>
      <x:c r="E874" t="s">
        <x:v>207</x:v>
      </x:c>
      <x:c r="F874" t="s">
        <x:v>13</x:v>
      </x:c>
      <x:c r="G874" t="s">
        <x:v>27</x:v>
      </x:c>
      <x:c r="H874" t="s">
        <x:v>15</x:v>
      </x:c>
      <x:c r="I874" t="s">
        <x:v>45</x:v>
      </x:c>
    </x:row>
    <x:row r="875">
      <x:c r="A875" t="s">
        <x:v>19</x:v>
      </x:c>
      <x:c r="B875">
        <x:v>0.44817702540726601</x:v>
      </x:c>
      <x:c r="C875" t="s">
        <x:v>23</x:v>
      </x:c>
      <x:c r="D875" t="s">
        <x:v>21</x:v>
      </x:c>
      <x:c r="E875" t="s">
        <x:v>207</x:v>
      </x:c>
      <x:c r="F875" t="s">
        <x:v>13</x:v>
      </x:c>
      <x:c r="G875" t="s">
        <x:v>27</x:v>
      </x:c>
      <x:c r="H875" t="s">
        <x:v>15</x:v>
      </x:c>
      <x:c r="I875" t="s">
        <x:v>45</x:v>
      </x:c>
    </x:row>
    <x:row r="876">
      <x:c r="A876" t="s">
        <x:v>20</x:v>
      </x:c>
      <x:c r="B876">
        <x:v>103624231354368</x:v>
      </x:c>
      <x:c r="C876" t="s">
        <x:v>23</x:v>
      </x:c>
      <x:c r="D876" t="s">
        <x:v>21</x:v>
      </x:c>
      <x:c r="E876" t="s">
        <x:v>207</x:v>
      </x:c>
      <x:c r="F876" t="s">
        <x:v>13</x:v>
      </x:c>
      <x:c r="G876" t="s">
        <x:v>27</x:v>
      </x:c>
      <x:c r="H876" t="s">
        <x:v>15</x:v>
      </x:c>
      <x:c r="I876" t="s">
        <x:v>45</x:v>
      </x:c>
    </x:row>
    <x:row r="877">
      <x:c r="A877" t="s">
        <x:v>9</x:v>
      </x:c>
      <x:c r="B877">
        <x:v>0.90819797729512497</x:v>
      </x:c>
      <x:c r="C877" t="s">
        <x:v>23</x:v>
      </x:c>
      <x:c r="D877" t="s">
        <x:v>11</x:v>
      </x:c>
      <x:c r="E877" t="s">
        <x:v>208</x:v>
      </x:c>
      <x:c r="F877" t="s">
        <x:v>13</x:v>
      </x:c>
      <x:c r="G877" t="s">
        <x:v>27</x:v>
      </x:c>
      <x:c r="H877" t="s">
        <x:v>15</x:v>
      </x:c>
      <x:c r="I877" t="s">
        <x:v>45</x:v>
      </x:c>
    </x:row>
    <x:row r="878">
      <x:c r="A878" t="s">
        <x:v>17</x:v>
      </x:c>
      <x:c r="B878">
        <x:v>0.23444826900959001</x:v>
      </x:c>
      <x:c r="C878" t="s">
        <x:v>23</x:v>
      </x:c>
      <x:c r="D878" t="s">
        <x:v>11</x:v>
      </x:c>
      <x:c r="E878" t="s">
        <x:v>208</x:v>
      </x:c>
      <x:c r="F878" t="s">
        <x:v>13</x:v>
      </x:c>
      <x:c r="G878" t="s">
        <x:v>27</x:v>
      </x:c>
      <x:c r="H878" t="s">
        <x:v>15</x:v>
      </x:c>
      <x:c r="I878" t="s">
        <x:v>45</x:v>
      </x:c>
    </x:row>
    <x:row r="879">
      <x:c r="A879" t="s">
        <x:v>18</x:v>
      </x:c>
      <x:c r="B879">
        <x:v>0.200862646102905</x:v>
      </x:c>
      <x:c r="C879" t="s">
        <x:v>23</x:v>
      </x:c>
      <x:c r="D879" t="s">
        <x:v>11</x:v>
      </x:c>
      <x:c r="E879" t="s">
        <x:v>208</x:v>
      </x:c>
      <x:c r="F879" t="s">
        <x:v>13</x:v>
      </x:c>
      <x:c r="G879" t="s">
        <x:v>27</x:v>
      </x:c>
      <x:c r="H879" t="s">
        <x:v>15</x:v>
      </x:c>
      <x:c r="I879" t="s">
        <x:v>45</x:v>
      </x:c>
    </x:row>
    <x:row r="880">
      <x:c r="A880" t="s">
        <x:v>19</x:v>
      </x:c>
      <x:c r="B880">
        <x:v>0.44817702540726601</x:v>
      </x:c>
      <x:c r="C880" t="s">
        <x:v>23</x:v>
      </x:c>
      <x:c r="D880" t="s">
        <x:v>11</x:v>
      </x:c>
      <x:c r="E880" t="s">
        <x:v>208</x:v>
      </x:c>
      <x:c r="F880" t="s">
        <x:v>13</x:v>
      </x:c>
      <x:c r="G880" t="s">
        <x:v>27</x:v>
      </x:c>
      <x:c r="H880" t="s">
        <x:v>15</x:v>
      </x:c>
      <x:c r="I880" t="s">
        <x:v>45</x:v>
      </x:c>
    </x:row>
    <x:row r="881">
      <x:c r="A881" t="s">
        <x:v>20</x:v>
      </x:c>
      <x:c r="B881">
        <x:v>103624231354368</x:v>
      </x:c>
      <x:c r="C881" t="s">
        <x:v>23</x:v>
      </x:c>
      <x:c r="D881" t="s">
        <x:v>11</x:v>
      </x:c>
      <x:c r="E881" t="s">
        <x:v>208</x:v>
      </x:c>
      <x:c r="F881" t="s">
        <x:v>13</x:v>
      </x:c>
      <x:c r="G881" t="s">
        <x:v>27</x:v>
      </x:c>
      <x:c r="H881" t="s">
        <x:v>15</x:v>
      </x:c>
      <x:c r="I881" t="s">
        <x:v>45</x:v>
      </x:c>
    </x:row>
    <x:row r="882">
      <x:c r="A882" t="s">
        <x:v>9</x:v>
      </x:c>
      <x:c r="B882">
        <x:v>0.81226462845057101</x:v>
      </x:c>
      <x:c r="C882" t="s">
        <x:v>10</x:v>
      </x:c>
      <x:c r="D882" t="s">
        <x:v>11</x:v>
      </x:c>
      <x:c r="E882" t="s">
        <x:v>209</x:v>
      </x:c>
      <x:c r="F882" t="s">
        <x:v>33</x:v>
      </x:c>
      <x:c r="G882" t="s">
        <x:v>14</x:v>
      </x:c>
      <x:c r="I882" t="s">
        <x:v>58</x:v>
      </x:c>
    </x:row>
    <x:row r="883">
      <x:c r="A883" t="s">
        <x:v>17</x:v>
      </x:c>
      <x:c r="B883">
        <x:v>0.658086597919464</x:v>
      </x:c>
      <x:c r="C883" t="s">
        <x:v>10</x:v>
      </x:c>
      <x:c r="D883" t="s">
        <x:v>11</x:v>
      </x:c>
      <x:c r="E883" t="s">
        <x:v>209</x:v>
      </x:c>
      <x:c r="F883" t="s">
        <x:v>33</x:v>
      </x:c>
      <x:c r="G883" t="s">
        <x:v>14</x:v>
      </x:c>
      <x:c r="I883" t="s">
        <x:v>58</x:v>
      </x:c>
    </x:row>
    <x:row r="884">
      <x:c r="A884" t="s">
        <x:v>18</x:v>
      </x:c>
      <x:c r="B884">
        <x:v>0.70823401212692205</x:v>
      </x:c>
      <x:c r="C884" t="s">
        <x:v>10</x:v>
      </x:c>
      <x:c r="D884" t="s">
        <x:v>11</x:v>
      </x:c>
      <x:c r="E884" t="s">
        <x:v>209</x:v>
      </x:c>
      <x:c r="F884" t="s">
        <x:v>33</x:v>
      </x:c>
      <x:c r="G884" t="s">
        <x:v>14</x:v>
      </x:c>
      <x:c r="I884" t="s">
        <x:v>58</x:v>
      </x:c>
    </x:row>
    <x:row r="885">
      <x:c r="A885" t="s">
        <x:v>19</x:v>
      </x:c>
      <x:c r="B885">
        <x:v>0.84156640387251802</x:v>
      </x:c>
      <x:c r="C885" t="s">
        <x:v>10</x:v>
      </x:c>
      <x:c r="D885" t="s">
        <x:v>11</x:v>
      </x:c>
      <x:c r="E885" t="s">
        <x:v>209</x:v>
      </x:c>
      <x:c r="F885" t="s">
        <x:v>33</x:v>
      </x:c>
      <x:c r="G885" t="s">
        <x:v>14</x:v>
      </x:c>
      <x:c r="I885" t="s">
        <x:v>58</x:v>
      </x:c>
    </x:row>
    <x:row r="886">
      <x:c r="A886" t="s">
        <x:v>20</x:v>
      </x:c>
      <x:c r="B886">
        <x:v>285548314624</x:v>
      </x:c>
      <x:c r="C886" t="s">
        <x:v>10</x:v>
      </x:c>
      <x:c r="D886" t="s">
        <x:v>11</x:v>
      </x:c>
      <x:c r="E886" t="s">
        <x:v>209</x:v>
      </x:c>
      <x:c r="F886" t="s">
        <x:v>33</x:v>
      </x:c>
      <x:c r="G886" t="s">
        <x:v>14</x:v>
      </x:c>
      <x:c r="I886" t="s">
        <x:v>58</x:v>
      </x:c>
    </x:row>
    <x:row r="887">
      <x:c r="A887" t="s">
        <x:v>9</x:v>
      </x:c>
      <x:c r="B887">
        <x:v>0.81226462845057101</x:v>
      </x:c>
      <x:c r="C887" t="s">
        <x:v>10</x:v>
      </x:c>
      <x:c r="D887" t="s">
        <x:v>21</x:v>
      </x:c>
      <x:c r="E887" t="s">
        <x:v>210</x:v>
      </x:c>
      <x:c r="F887" t="s">
        <x:v>33</x:v>
      </x:c>
      <x:c r="G887" t="s">
        <x:v>14</x:v>
      </x:c>
      <x:c r="I887" t="s">
        <x:v>58</x:v>
      </x:c>
    </x:row>
    <x:row r="888">
      <x:c r="A888" t="s">
        <x:v>17</x:v>
      </x:c>
      <x:c r="B888">
        <x:v>0.658086597919464</x:v>
      </x:c>
      <x:c r="C888" t="s">
        <x:v>10</x:v>
      </x:c>
      <x:c r="D888" t="s">
        <x:v>21</x:v>
      </x:c>
      <x:c r="E888" t="s">
        <x:v>210</x:v>
      </x:c>
      <x:c r="F888" t="s">
        <x:v>33</x:v>
      </x:c>
      <x:c r="G888" t="s">
        <x:v>14</x:v>
      </x:c>
      <x:c r="I888" t="s">
        <x:v>58</x:v>
      </x:c>
    </x:row>
    <x:row r="889">
      <x:c r="A889" t="s">
        <x:v>18</x:v>
      </x:c>
      <x:c r="B889">
        <x:v>0.70823401212692205</x:v>
      </x:c>
      <x:c r="C889" t="s">
        <x:v>10</x:v>
      </x:c>
      <x:c r="D889" t="s">
        <x:v>21</x:v>
      </x:c>
      <x:c r="E889" t="s">
        <x:v>210</x:v>
      </x:c>
      <x:c r="F889" t="s">
        <x:v>33</x:v>
      </x:c>
      <x:c r="G889" t="s">
        <x:v>14</x:v>
      </x:c>
      <x:c r="I889" t="s">
        <x:v>58</x:v>
      </x:c>
    </x:row>
    <x:row r="890">
      <x:c r="A890" t="s">
        <x:v>19</x:v>
      </x:c>
      <x:c r="B890">
        <x:v>0.84156640387251802</x:v>
      </x:c>
      <x:c r="C890" t="s">
        <x:v>10</x:v>
      </x:c>
      <x:c r="D890" t="s">
        <x:v>21</x:v>
      </x:c>
      <x:c r="E890" t="s">
        <x:v>210</x:v>
      </x:c>
      <x:c r="F890" t="s">
        <x:v>33</x:v>
      </x:c>
      <x:c r="G890" t="s">
        <x:v>14</x:v>
      </x:c>
      <x:c r="I890" t="s">
        <x:v>58</x:v>
      </x:c>
    </x:row>
    <x:row r="891">
      <x:c r="A891" t="s">
        <x:v>20</x:v>
      </x:c>
      <x:c r="B891">
        <x:v>285548314624</x:v>
      </x:c>
      <x:c r="C891" t="s">
        <x:v>10</x:v>
      </x:c>
      <x:c r="D891" t="s">
        <x:v>21</x:v>
      </x:c>
      <x:c r="E891" t="s">
        <x:v>210</x:v>
      </x:c>
      <x:c r="F891" t="s">
        <x:v>33</x:v>
      </x:c>
      <x:c r="G891" t="s">
        <x:v>14</x:v>
      </x:c>
      <x:c r="I891" t="s">
        <x:v>58</x:v>
      </x:c>
    </x:row>
    <x:row r="892">
      <x:c r="A892" t="s">
        <x:v>9</x:v>
      </x:c>
      <x:c r="B892">
        <x:v>0.80958082300547196</x:v>
      </x:c>
      <x:c r="C892" t="s">
        <x:v>23</x:v>
      </x:c>
      <x:c r="D892" t="s">
        <x:v>21</x:v>
      </x:c>
      <x:c r="E892" t="s">
        <x:v>211</x:v>
      </x:c>
      <x:c r="F892" t="s">
        <x:v>33</x:v>
      </x:c>
      <x:c r="G892" t="s">
        <x:v>14</x:v>
      </x:c>
      <x:c r="I892" t="s">
        <x:v>58</x:v>
      </x:c>
    </x:row>
    <x:row r="893">
      <x:c r="A893" t="s">
        <x:v>17</x:v>
      </x:c>
      <x:c r="B893">
        <x:v>0.586439609527587</x:v>
      </x:c>
      <x:c r="C893" t="s">
        <x:v>23</x:v>
      </x:c>
      <x:c r="D893" t="s">
        <x:v>21</x:v>
      </x:c>
      <x:c r="E893" t="s">
        <x:v>211</x:v>
      </x:c>
      <x:c r="F893" t="s">
        <x:v>33</x:v>
      </x:c>
      <x:c r="G893" t="s">
        <x:v>14</x:v>
      </x:c>
      <x:c r="I893" t="s">
        <x:v>58</x:v>
      </x:c>
    </x:row>
    <x:row r="894">
      <x:c r="A894" t="s">
        <x:v>18</x:v>
      </x:c>
      <x:c r="B894">
        <x:v>0.753881275653839</x:v>
      </x:c>
      <x:c r="C894" t="s">
        <x:v>23</x:v>
      </x:c>
      <x:c r="D894" t="s">
        <x:v>21</x:v>
      </x:c>
      <x:c r="E894" t="s">
        <x:v>211</x:v>
      </x:c>
      <x:c r="F894" t="s">
        <x:v>33</x:v>
      </x:c>
      <x:c r="G894" t="s">
        <x:v>14</x:v>
      </x:c>
      <x:c r="I894" t="s">
        <x:v>58</x:v>
      </x:c>
    </x:row>
    <x:row r="895">
      <x:c r="A895" t="s">
        <x:v>19</x:v>
      </x:c>
      <x:c r="B895">
        <x:v>0.868263367679322</x:v>
      </x:c>
      <x:c r="C895" t="s">
        <x:v>23</x:v>
      </x:c>
      <x:c r="D895" t="s">
        <x:v>21</x:v>
      </x:c>
      <x:c r="E895" t="s">
        <x:v>211</x:v>
      </x:c>
      <x:c r="F895" t="s">
        <x:v>33</x:v>
      </x:c>
      <x:c r="G895" t="s">
        <x:v>14</x:v>
      </x:c>
      <x:c r="I895" t="s">
        <x:v>58</x:v>
      </x:c>
    </x:row>
    <x:row r="896">
      <x:c r="A896" t="s">
        <x:v>20</x:v>
      </x:c>
      <x:c r="B896">
        <x:v>184901278105600</x:v>
      </x:c>
      <x:c r="C896" t="s">
        <x:v>23</x:v>
      </x:c>
      <x:c r="D896" t="s">
        <x:v>21</x:v>
      </x:c>
      <x:c r="E896" t="s">
        <x:v>211</x:v>
      </x:c>
      <x:c r="F896" t="s">
        <x:v>33</x:v>
      </x:c>
      <x:c r="G896" t="s">
        <x:v>14</x:v>
      </x:c>
      <x:c r="I896" t="s">
        <x:v>58</x:v>
      </x:c>
    </x:row>
    <x:row r="897">
      <x:c r="A897" t="s">
        <x:v>9</x:v>
      </x:c>
      <x:c r="B897">
        <x:v>0.80958082300547196</x:v>
      </x:c>
      <x:c r="C897" t="s">
        <x:v>23</x:v>
      </x:c>
      <x:c r="D897" t="s">
        <x:v>11</x:v>
      </x:c>
      <x:c r="E897" t="s">
        <x:v>212</x:v>
      </x:c>
      <x:c r="F897" t="s">
        <x:v>33</x:v>
      </x:c>
      <x:c r="G897" t="s">
        <x:v>14</x:v>
      </x:c>
      <x:c r="I897" t="s">
        <x:v>58</x:v>
      </x:c>
    </x:row>
    <x:row r="898">
      <x:c r="A898" t="s">
        <x:v>17</x:v>
      </x:c>
      <x:c r="B898">
        <x:v>0.586439609527587</x:v>
      </x:c>
      <x:c r="C898" t="s">
        <x:v>23</x:v>
      </x:c>
      <x:c r="D898" t="s">
        <x:v>11</x:v>
      </x:c>
      <x:c r="E898" t="s">
        <x:v>212</x:v>
      </x:c>
      <x:c r="F898" t="s">
        <x:v>33</x:v>
      </x:c>
      <x:c r="G898" t="s">
        <x:v>14</x:v>
      </x:c>
      <x:c r="I898" t="s">
        <x:v>58</x:v>
      </x:c>
    </x:row>
    <x:row r="899">
      <x:c r="A899" t="s">
        <x:v>18</x:v>
      </x:c>
      <x:c r="B899">
        <x:v>0.753881275653839</x:v>
      </x:c>
      <x:c r="C899" t="s">
        <x:v>23</x:v>
      </x:c>
      <x:c r="D899" t="s">
        <x:v>11</x:v>
      </x:c>
      <x:c r="E899" t="s">
        <x:v>212</x:v>
      </x:c>
      <x:c r="F899" t="s">
        <x:v>33</x:v>
      </x:c>
      <x:c r="G899" t="s">
        <x:v>14</x:v>
      </x:c>
      <x:c r="I899" t="s">
        <x:v>58</x:v>
      </x:c>
    </x:row>
    <x:row r="900">
      <x:c r="A900" t="s">
        <x:v>19</x:v>
      </x:c>
      <x:c r="B900">
        <x:v>0.868263367679322</x:v>
      </x:c>
      <x:c r="C900" t="s">
        <x:v>23</x:v>
      </x:c>
      <x:c r="D900" t="s">
        <x:v>11</x:v>
      </x:c>
      <x:c r="E900" t="s">
        <x:v>212</x:v>
      </x:c>
      <x:c r="F900" t="s">
        <x:v>33</x:v>
      </x:c>
      <x:c r="G900" t="s">
        <x:v>14</x:v>
      </x:c>
      <x:c r="I900" t="s">
        <x:v>58</x:v>
      </x:c>
    </x:row>
    <x:row r="901">
      <x:c r="A901" t="s">
        <x:v>20</x:v>
      </x:c>
      <x:c r="B901">
        <x:v>184901278105600</x:v>
      </x:c>
      <x:c r="C901" t="s">
        <x:v>23</x:v>
      </x:c>
      <x:c r="D901" t="s">
        <x:v>11</x:v>
      </x:c>
      <x:c r="E901" t="s">
        <x:v>212</x:v>
      </x:c>
      <x:c r="F901" t="s">
        <x:v>33</x:v>
      </x:c>
      <x:c r="G901" t="s">
        <x:v>14</x:v>
      </x:c>
      <x:c r="I901" t="s">
        <x:v>58</x:v>
      </x:c>
    </x:row>
    <x:row r="902">
      <x:c r="A902" t="s">
        <x:v>9</x:v>
      </x:c>
      <x:c r="B902">
        <x:v>0.94280789261981202</x:v>
      </x:c>
      <x:c r="C902" t="s">
        <x:v>10</x:v>
      </x:c>
      <x:c r="D902" t="s">
        <x:v>11</x:v>
      </x:c>
      <x:c r="E902" t="s">
        <x:v>213</x:v>
      </x:c>
      <x:c r="F902" t="s">
        <x:v>13</x:v>
      </x:c>
      <x:c r="G902" t="s">
        <x:v>14</x:v>
      </x:c>
      <x:c r="H902" t="s">
        <x:v>34</x:v>
      </x:c>
      <x:c r="I902" t="s">
        <x:v>40</x:v>
      </x:c>
    </x:row>
    <x:row r="903">
      <x:c r="A903" t="s">
        <x:v>17</x:v>
      </x:c>
      <x:c r="B903">
        <x:v>9.8141632974147797E-2</x:v>
      </x:c>
      <x:c r="C903" t="s">
        <x:v>10</x:v>
      </x:c>
      <x:c r="D903" t="s">
        <x:v>11</x:v>
      </x:c>
      <x:c r="E903" t="s">
        <x:v>213</x:v>
      </x:c>
      <x:c r="F903" t="s">
        <x:v>13</x:v>
      </x:c>
      <x:c r="G903" t="s">
        <x:v>14</x:v>
      </x:c>
      <x:c r="H903" t="s">
        <x:v>34</x:v>
      </x:c>
      <x:c r="I903" t="s">
        <x:v>40</x:v>
      </x:c>
    </x:row>
    <x:row r="904">
      <x:c r="A904" t="s">
        <x:v>18</x:v>
      </x:c>
      <x:c r="B904">
        <x:v>3.1151054427027699E-2</x:v>
      </x:c>
      <x:c r="C904" t="s">
        <x:v>10</x:v>
      </x:c>
      <x:c r="D904" t="s">
        <x:v>11</x:v>
      </x:c>
      <x:c r="E904" t="s">
        <x:v>213</x:v>
      </x:c>
      <x:c r="F904" t="s">
        <x:v>13</x:v>
      </x:c>
      <x:c r="G904" t="s">
        <x:v>14</x:v>
      </x:c>
      <x:c r="H904" t="s">
        <x:v>34</x:v>
      </x:c>
      <x:c r="I904" t="s">
        <x:v>40</x:v>
      </x:c>
    </x:row>
    <x:row r="905">
      <x:c r="A905" t="s">
        <x:v>19</x:v>
      </x:c>
      <x:c r="B905">
        <x:v>0.17649661307523001</x:v>
      </x:c>
      <x:c r="C905" t="s">
        <x:v>10</x:v>
      </x:c>
      <x:c r="D905" t="s">
        <x:v>11</x:v>
      </x:c>
      <x:c r="E905" t="s">
        <x:v>213</x:v>
      </x:c>
      <x:c r="F905" t="s">
        <x:v>13</x:v>
      </x:c>
      <x:c r="G905" t="s">
        <x:v>14</x:v>
      </x:c>
      <x:c r="H905" t="s">
        <x:v>34</x:v>
      </x:c>
      <x:c r="I905" t="s">
        <x:v>40</x:v>
      </x:c>
    </x:row>
    <x:row r="906">
      <x:c r="A906" t="s">
        <x:v>20</x:v>
      </x:c>
      <x:c r="B906">
        <x:v>58591734136832</x:v>
      </x:c>
      <x:c r="C906" t="s">
        <x:v>10</x:v>
      </x:c>
      <x:c r="D906" t="s">
        <x:v>11</x:v>
      </x:c>
      <x:c r="E906" t="s">
        <x:v>213</x:v>
      </x:c>
      <x:c r="F906" t="s">
        <x:v>13</x:v>
      </x:c>
      <x:c r="G906" t="s">
        <x:v>14</x:v>
      </x:c>
      <x:c r="H906" t="s">
        <x:v>34</x:v>
      </x:c>
      <x:c r="I906" t="s">
        <x:v>40</x:v>
      </x:c>
    </x:row>
    <x:row r="907">
      <x:c r="A907" t="s">
        <x:v>9</x:v>
      </x:c>
      <x:c r="B907">
        <x:v>0.94280789261981202</x:v>
      </x:c>
      <x:c r="C907" t="s">
        <x:v>10</x:v>
      </x:c>
      <x:c r="D907" t="s">
        <x:v>21</x:v>
      </x:c>
      <x:c r="E907" t="s">
        <x:v>214</x:v>
      </x:c>
      <x:c r="F907" t="s">
        <x:v>13</x:v>
      </x:c>
      <x:c r="G907" t="s">
        <x:v>14</x:v>
      </x:c>
      <x:c r="H907" t="s">
        <x:v>34</x:v>
      </x:c>
      <x:c r="I907" t="s">
        <x:v>40</x:v>
      </x:c>
    </x:row>
    <x:row r="908">
      <x:c r="A908" t="s">
        <x:v>17</x:v>
      </x:c>
      <x:c r="B908">
        <x:v>9.8141632974147797E-2</x:v>
      </x:c>
      <x:c r="C908" t="s">
        <x:v>10</x:v>
      </x:c>
      <x:c r="D908" t="s">
        <x:v>21</x:v>
      </x:c>
      <x:c r="E908" t="s">
        <x:v>214</x:v>
      </x:c>
      <x:c r="F908" t="s">
        <x:v>13</x:v>
      </x:c>
      <x:c r="G908" t="s">
        <x:v>14</x:v>
      </x:c>
      <x:c r="H908" t="s">
        <x:v>34</x:v>
      </x:c>
      <x:c r="I908" t="s">
        <x:v>40</x:v>
      </x:c>
    </x:row>
    <x:row r="909">
      <x:c r="A909" t="s">
        <x:v>18</x:v>
      </x:c>
      <x:c r="B909">
        <x:v>3.1151054427027699E-2</x:v>
      </x:c>
      <x:c r="C909" t="s">
        <x:v>10</x:v>
      </x:c>
      <x:c r="D909" t="s">
        <x:v>21</x:v>
      </x:c>
      <x:c r="E909" t="s">
        <x:v>214</x:v>
      </x:c>
      <x:c r="F909" t="s">
        <x:v>13</x:v>
      </x:c>
      <x:c r="G909" t="s">
        <x:v>14</x:v>
      </x:c>
      <x:c r="H909" t="s">
        <x:v>34</x:v>
      </x:c>
      <x:c r="I909" t="s">
        <x:v>40</x:v>
      </x:c>
    </x:row>
    <x:row r="910">
      <x:c r="A910" t="s">
        <x:v>19</x:v>
      </x:c>
      <x:c r="B910">
        <x:v>0.17649661307523001</x:v>
      </x:c>
      <x:c r="C910" t="s">
        <x:v>10</x:v>
      </x:c>
      <x:c r="D910" t="s">
        <x:v>21</x:v>
      </x:c>
      <x:c r="E910" t="s">
        <x:v>214</x:v>
      </x:c>
      <x:c r="F910" t="s">
        <x:v>13</x:v>
      </x:c>
      <x:c r="G910" t="s">
        <x:v>14</x:v>
      </x:c>
      <x:c r="H910" t="s">
        <x:v>34</x:v>
      </x:c>
      <x:c r="I910" t="s">
        <x:v>40</x:v>
      </x:c>
    </x:row>
    <x:row r="911">
      <x:c r="A911" t="s">
        <x:v>20</x:v>
      </x:c>
      <x:c r="B911">
        <x:v>58591734136832</x:v>
      </x:c>
      <x:c r="C911" t="s">
        <x:v>10</x:v>
      </x:c>
      <x:c r="D911" t="s">
        <x:v>21</x:v>
      </x:c>
      <x:c r="E911" t="s">
        <x:v>214</x:v>
      </x:c>
      <x:c r="F911" t="s">
        <x:v>13</x:v>
      </x:c>
      <x:c r="G911" t="s">
        <x:v>14</x:v>
      </x:c>
      <x:c r="H911" t="s">
        <x:v>34</x:v>
      </x:c>
      <x:c r="I911" t="s">
        <x:v>40</x:v>
      </x:c>
    </x:row>
    <x:row r="912">
      <x:c r="A912" t="s">
        <x:v>9</x:v>
      </x:c>
      <x:c r="B912">
        <x:v>0.84039248659825505</x:v>
      </x:c>
      <x:c r="C912" t="s">
        <x:v>23</x:v>
      </x:c>
      <x:c r="D912" t="s">
        <x:v>21</x:v>
      </x:c>
      <x:c r="E912" t="s">
        <x:v>215</x:v>
      </x:c>
      <x:c r="F912" t="s">
        <x:v>13</x:v>
      </x:c>
      <x:c r="G912" t="s">
        <x:v>14</x:v>
      </x:c>
      <x:c r="H912" t="s">
        <x:v>34</x:v>
      </x:c>
      <x:c r="I912" t="s">
        <x:v>40</x:v>
      </x:c>
    </x:row>
    <x:row r="913">
      <x:c r="A913" t="s">
        <x:v>17</x:v>
      </x:c>
      <x:c r="B913">
        <x:v>0.38509801030158902</x:v>
      </x:c>
      <x:c r="C913" t="s">
        <x:v>23</x:v>
      </x:c>
      <x:c r="D913" t="s">
        <x:v>21</x:v>
      </x:c>
      <x:c r="E913" t="s">
        <x:v>215</x:v>
      </x:c>
      <x:c r="F913" t="s">
        <x:v>13</x:v>
      </x:c>
      <x:c r="G913" t="s">
        <x:v>14</x:v>
      </x:c>
      <x:c r="H913" t="s">
        <x:v>34</x:v>
      </x:c>
      <x:c r="I913" t="s">
        <x:v>40</x:v>
      </x:c>
    </x:row>
    <x:row r="914">
      <x:c r="A914" t="s">
        <x:v>18</x:v>
      </x:c>
      <x:c r="B914">
        <x:v>0.29276147484779302</x:v>
      </x:c>
      <x:c r="C914" t="s">
        <x:v>23</x:v>
      </x:c>
      <x:c r="D914" t="s">
        <x:v>21</x:v>
      </x:c>
      <x:c r="E914" t="s">
        <x:v>215</x:v>
      </x:c>
      <x:c r="F914" t="s">
        <x:v>13</x:v>
      </x:c>
      <x:c r="G914" t="s">
        <x:v>14</x:v>
      </x:c>
      <x:c r="H914" t="s">
        <x:v>34</x:v>
      </x:c>
      <x:c r="I914" t="s">
        <x:v>40</x:v>
      </x:c>
    </x:row>
    <x:row r="915">
      <x:c r="A915" t="s">
        <x:v>19</x:v>
      </x:c>
      <x:c r="B915">
        <x:v>0.54107437090273702</x:v>
      </x:c>
      <x:c r="C915" t="s">
        <x:v>23</x:v>
      </x:c>
      <x:c r="D915" t="s">
        <x:v>21</x:v>
      </x:c>
      <x:c r="E915" t="s">
        <x:v>215</x:v>
      </x:c>
      <x:c r="F915" t="s">
        <x:v>13</x:v>
      </x:c>
      <x:c r="G915" t="s">
        <x:v>14</x:v>
      </x:c>
      <x:c r="H915" t="s">
        <x:v>34</x:v>
      </x:c>
      <x:c r="I915" t="s">
        <x:v>40</x:v>
      </x:c>
    </x:row>
    <x:row r="916">
      <x:c r="A916" t="s">
        <x:v>20</x:v>
      </x:c>
      <x:c r="B916">
        <x:v>395212555812864</x:v>
      </x:c>
      <x:c r="C916" t="s">
        <x:v>23</x:v>
      </x:c>
      <x:c r="D916" t="s">
        <x:v>21</x:v>
      </x:c>
      <x:c r="E916" t="s">
        <x:v>215</x:v>
      </x:c>
      <x:c r="F916" t="s">
        <x:v>13</x:v>
      </x:c>
      <x:c r="G916" t="s">
        <x:v>14</x:v>
      </x:c>
      <x:c r="H916" t="s">
        <x:v>34</x:v>
      </x:c>
      <x:c r="I916" t="s">
        <x:v>40</x:v>
      </x:c>
    </x:row>
    <x:row r="917">
      <x:c r="A917" t="s">
        <x:v>9</x:v>
      </x:c>
      <x:c r="B917">
        <x:v>0.84039248659825505</x:v>
      </x:c>
      <x:c r="C917" t="s">
        <x:v>23</x:v>
      </x:c>
      <x:c r="D917" t="s">
        <x:v>11</x:v>
      </x:c>
      <x:c r="E917" t="s">
        <x:v>216</x:v>
      </x:c>
      <x:c r="F917" t="s">
        <x:v>13</x:v>
      </x:c>
      <x:c r="G917" t="s">
        <x:v>14</x:v>
      </x:c>
      <x:c r="H917" t="s">
        <x:v>34</x:v>
      </x:c>
      <x:c r="I917" t="s">
        <x:v>40</x:v>
      </x:c>
    </x:row>
    <x:row r="918">
      <x:c r="A918" t="s">
        <x:v>17</x:v>
      </x:c>
      <x:c r="B918">
        <x:v>0.38509801030158902</x:v>
      </x:c>
      <x:c r="C918" t="s">
        <x:v>23</x:v>
      </x:c>
      <x:c r="D918" t="s">
        <x:v>11</x:v>
      </x:c>
      <x:c r="E918" t="s">
        <x:v>216</x:v>
      </x:c>
      <x:c r="F918" t="s">
        <x:v>13</x:v>
      </x:c>
      <x:c r="G918" t="s">
        <x:v>14</x:v>
      </x:c>
      <x:c r="H918" t="s">
        <x:v>34</x:v>
      </x:c>
      <x:c r="I918" t="s">
        <x:v>40</x:v>
      </x:c>
    </x:row>
    <x:row r="919">
      <x:c r="A919" t="s">
        <x:v>18</x:v>
      </x:c>
      <x:c r="B919">
        <x:v>0.29276147484779302</x:v>
      </x:c>
      <x:c r="C919" t="s">
        <x:v>23</x:v>
      </x:c>
      <x:c r="D919" t="s">
        <x:v>11</x:v>
      </x:c>
      <x:c r="E919" t="s">
        <x:v>216</x:v>
      </x:c>
      <x:c r="F919" t="s">
        <x:v>13</x:v>
      </x:c>
      <x:c r="G919" t="s">
        <x:v>14</x:v>
      </x:c>
      <x:c r="H919" t="s">
        <x:v>34</x:v>
      </x:c>
      <x:c r="I919" t="s">
        <x:v>40</x:v>
      </x:c>
    </x:row>
    <x:row r="920">
      <x:c r="A920" t="s">
        <x:v>19</x:v>
      </x:c>
      <x:c r="B920">
        <x:v>0.54107437090273702</x:v>
      </x:c>
      <x:c r="C920" t="s">
        <x:v>23</x:v>
      </x:c>
      <x:c r="D920" t="s">
        <x:v>11</x:v>
      </x:c>
      <x:c r="E920" t="s">
        <x:v>216</x:v>
      </x:c>
      <x:c r="F920" t="s">
        <x:v>13</x:v>
      </x:c>
      <x:c r="G920" t="s">
        <x:v>14</x:v>
      </x:c>
      <x:c r="H920" t="s">
        <x:v>34</x:v>
      </x:c>
      <x:c r="I920" t="s">
        <x:v>40</x:v>
      </x:c>
    </x:row>
    <x:row r="921">
      <x:c r="A921" t="s">
        <x:v>20</x:v>
      </x:c>
      <x:c r="B921">
        <x:v>395212555812864</x:v>
      </x:c>
      <x:c r="C921" t="s">
        <x:v>23</x:v>
      </x:c>
      <x:c r="D921" t="s">
        <x:v>11</x:v>
      </x:c>
      <x:c r="E921" t="s">
        <x:v>216</x:v>
      </x:c>
      <x:c r="F921" t="s">
        <x:v>13</x:v>
      </x:c>
      <x:c r="G921" t="s">
        <x:v>14</x:v>
      </x:c>
      <x:c r="H921" t="s">
        <x:v>34</x:v>
      </x:c>
      <x:c r="I921" t="s">
        <x:v>40</x:v>
      </x:c>
    </x:row>
    <x:row r="922">
      <x:c r="A922" t="s">
        <x:v>9</x:v>
      </x:c>
      <x:c r="B922">
        <x:v>0.81421731705423495</x:v>
      </x:c>
      <x:c r="C922" t="s">
        <x:v>10</x:v>
      </x:c>
      <x:c r="D922" t="s">
        <x:v>11</x:v>
      </x:c>
      <x:c r="E922" t="s">
        <x:v>217</x:v>
      </x:c>
      <x:c r="F922" t="s">
        <x:v>33</x:v>
      </x:c>
      <x:c r="G922" t="s">
        <x:v>14</x:v>
      </x:c>
      <x:c r="I922" t="s">
        <x:v>35</x:v>
      </x:c>
    </x:row>
    <x:row r="923">
      <x:c r="A923" t="s">
        <x:v>17</x:v>
      </x:c>
      <x:c r="B923">
        <x:v>0.70561581850051802</x:v>
      </x:c>
      <x:c r="C923" t="s">
        <x:v>10</x:v>
      </x:c>
      <x:c r="D923" t="s">
        <x:v>11</x:v>
      </x:c>
      <x:c r="E923" t="s">
        <x:v>217</x:v>
      </x:c>
      <x:c r="F923" t="s">
        <x:v>33</x:v>
      </x:c>
      <x:c r="G923" t="s">
        <x:v>14</x:v>
      </x:c>
      <x:c r="I923" t="s">
        <x:v>35</x:v>
      </x:c>
    </x:row>
    <x:row r="924">
      <x:c r="A924" t="s">
        <x:v>18</x:v>
      </x:c>
      <x:c r="B924">
        <x:v>0.80599546432495095</x:v>
      </x:c>
      <x:c r="C924" t="s">
        <x:v>10</x:v>
      </x:c>
      <x:c r="D924" t="s">
        <x:v>11</x:v>
      </x:c>
      <x:c r="E924" t="s">
        <x:v>217</x:v>
      </x:c>
      <x:c r="F924" t="s">
        <x:v>33</x:v>
      </x:c>
      <x:c r="G924" t="s">
        <x:v>14</x:v>
      </x:c>
      <x:c r="I924" t="s">
        <x:v>35</x:v>
      </x:c>
    </x:row>
    <x:row r="925">
      <x:c r="A925" t="s">
        <x:v>19</x:v>
      </x:c>
      <x:c r="B925">
        <x:v>0.89777250143059695</x:v>
      </x:c>
      <x:c r="C925" t="s">
        <x:v>10</x:v>
      </x:c>
      <x:c r="D925" t="s">
        <x:v>11</x:v>
      </x:c>
      <x:c r="E925" t="s">
        <x:v>217</x:v>
      </x:c>
      <x:c r="F925" t="s">
        <x:v>33</x:v>
      </x:c>
      <x:c r="G925" t="s">
        <x:v>14</x:v>
      </x:c>
      <x:c r="I925" t="s">
        <x:v>35</x:v>
      </x:c>
    </x:row>
    <x:row r="926">
      <x:c r="A926" t="s">
        <x:v>20</x:v>
      </x:c>
      <x:c r="B926">
        <x:v>723114852352</x:v>
      </x:c>
      <x:c r="C926" t="s">
        <x:v>10</x:v>
      </x:c>
      <x:c r="D926" t="s">
        <x:v>11</x:v>
      </x:c>
      <x:c r="E926" t="s">
        <x:v>217</x:v>
      </x:c>
      <x:c r="F926" t="s">
        <x:v>33</x:v>
      </x:c>
      <x:c r="G926" t="s">
        <x:v>14</x:v>
      </x:c>
      <x:c r="I926" t="s">
        <x:v>35</x:v>
      </x:c>
    </x:row>
    <x:row r="927">
      <x:c r="A927" t="s">
        <x:v>9</x:v>
      </x:c>
      <x:c r="B927">
        <x:v>0.81421731705423495</x:v>
      </x:c>
      <x:c r="C927" t="s">
        <x:v>10</x:v>
      </x:c>
      <x:c r="D927" t="s">
        <x:v>21</x:v>
      </x:c>
      <x:c r="E927" t="s">
        <x:v>218</x:v>
      </x:c>
      <x:c r="F927" t="s">
        <x:v>33</x:v>
      </x:c>
      <x:c r="G927" t="s">
        <x:v>14</x:v>
      </x:c>
      <x:c r="I927" t="s">
        <x:v>35</x:v>
      </x:c>
    </x:row>
    <x:row r="928">
      <x:c r="A928" t="s">
        <x:v>17</x:v>
      </x:c>
      <x:c r="B928">
        <x:v>0.70561581850051802</x:v>
      </x:c>
      <x:c r="C928" t="s">
        <x:v>10</x:v>
      </x:c>
      <x:c r="D928" t="s">
        <x:v>21</x:v>
      </x:c>
      <x:c r="E928" t="s">
        <x:v>218</x:v>
      </x:c>
      <x:c r="F928" t="s">
        <x:v>33</x:v>
      </x:c>
      <x:c r="G928" t="s">
        <x:v>14</x:v>
      </x:c>
      <x:c r="I928" t="s">
        <x:v>35</x:v>
      </x:c>
    </x:row>
    <x:row r="929">
      <x:c r="A929" t="s">
        <x:v>18</x:v>
      </x:c>
      <x:c r="B929">
        <x:v>0.80599546432495095</x:v>
      </x:c>
      <x:c r="C929" t="s">
        <x:v>10</x:v>
      </x:c>
      <x:c r="D929" t="s">
        <x:v>21</x:v>
      </x:c>
      <x:c r="E929" t="s">
        <x:v>218</x:v>
      </x:c>
      <x:c r="F929" t="s">
        <x:v>33</x:v>
      </x:c>
      <x:c r="G929" t="s">
        <x:v>14</x:v>
      </x:c>
      <x:c r="I929" t="s">
        <x:v>35</x:v>
      </x:c>
    </x:row>
    <x:row r="930">
      <x:c r="A930" t="s">
        <x:v>19</x:v>
      </x:c>
      <x:c r="B930">
        <x:v>0.89777250143059695</x:v>
      </x:c>
      <x:c r="C930" t="s">
        <x:v>10</x:v>
      </x:c>
      <x:c r="D930" t="s">
        <x:v>21</x:v>
      </x:c>
      <x:c r="E930" t="s">
        <x:v>218</x:v>
      </x:c>
      <x:c r="F930" t="s">
        <x:v>33</x:v>
      </x:c>
      <x:c r="G930" t="s">
        <x:v>14</x:v>
      </x:c>
      <x:c r="I930" t="s">
        <x:v>35</x:v>
      </x:c>
    </x:row>
    <x:row r="931">
      <x:c r="A931" t="s">
        <x:v>20</x:v>
      </x:c>
      <x:c r="B931">
        <x:v>723114852352</x:v>
      </x:c>
      <x:c r="C931" t="s">
        <x:v>10</x:v>
      </x:c>
      <x:c r="D931" t="s">
        <x:v>21</x:v>
      </x:c>
      <x:c r="E931" t="s">
        <x:v>218</x:v>
      </x:c>
      <x:c r="F931" t="s">
        <x:v>33</x:v>
      </x:c>
      <x:c r="G931" t="s">
        <x:v>14</x:v>
      </x:c>
      <x:c r="I931" t="s">
        <x:v>35</x:v>
      </x:c>
    </x:row>
    <x:row r="932">
      <x:c r="A932" t="s">
        <x:v>9</x:v>
      </x:c>
      <x:c r="B932">
        <x:v>0.37912808523944103</x:v>
      </x:c>
      <x:c r="C932" t="s">
        <x:v>23</x:v>
      </x:c>
      <x:c r="D932" t="s">
        <x:v>21</x:v>
      </x:c>
      <x:c r="E932" t="s">
        <x:v>219</x:v>
      </x:c>
      <x:c r="F932" t="s">
        <x:v>33</x:v>
      </x:c>
      <x:c r="G932" t="s">
        <x:v>14</x:v>
      </x:c>
      <x:c r="I932" t="s">
        <x:v>35</x:v>
      </x:c>
    </x:row>
    <x:row r="933">
      <x:c r="A933" t="s">
        <x:v>17</x:v>
      </x:c>
      <x:c r="B933">
        <x:v>0.79744136333465498</x:v>
      </x:c>
      <x:c r="C933" t="s">
        <x:v>23</x:v>
      </x:c>
      <x:c r="D933" t="s">
        <x:v>21</x:v>
      </x:c>
      <x:c r="E933" t="s">
        <x:v>219</x:v>
      </x:c>
      <x:c r="F933" t="s">
        <x:v>33</x:v>
      </x:c>
      <x:c r="G933" t="s">
        <x:v>14</x:v>
      </x:c>
      <x:c r="I933" t="s">
        <x:v>35</x:v>
      </x:c>
    </x:row>
    <x:row r="934">
      <x:c r="A934" t="s">
        <x:v>18</x:v>
      </x:c>
      <x:c r="B934">
        <x:v>1.26260685920715</x:v>
      </x:c>
      <x:c r="C934" t="s">
        <x:v>23</x:v>
      </x:c>
      <x:c r="D934" t="s">
        <x:v>21</x:v>
      </x:c>
      <x:c r="E934" t="s">
        <x:v>219</x:v>
      </x:c>
      <x:c r="F934" t="s">
        <x:v>33</x:v>
      </x:c>
      <x:c r="G934" t="s">
        <x:v>14</x:v>
      </x:c>
      <x:c r="I934" t="s">
        <x:v>35</x:v>
      </x:c>
    </x:row>
    <x:row r="935">
      <x:c r="A935" t="s">
        <x:v>19</x:v>
      </x:c>
      <x:c r="B935">
        <x:v>1.12365780342911</x:v>
      </x:c>
      <x:c r="C935" t="s">
        <x:v>23</x:v>
      </x:c>
      <x:c r="D935" t="s">
        <x:v>21</x:v>
      </x:c>
      <x:c r="E935" t="s">
        <x:v>219</x:v>
      </x:c>
      <x:c r="F935" t="s">
        <x:v>33</x:v>
      </x:c>
      <x:c r="G935" t="s">
        <x:v>14</x:v>
      </x:c>
      <x:c r="I935" t="s">
        <x:v>35</x:v>
      </x:c>
    </x:row>
    <x:row r="936">
      <x:c r="A936" t="s">
        <x:v>20</x:v>
      </x:c>
      <x:c r="B936">
        <x:v>341607974961152</x:v>
      </x:c>
      <x:c r="C936" t="s">
        <x:v>23</x:v>
      </x:c>
      <x:c r="D936" t="s">
        <x:v>21</x:v>
      </x:c>
      <x:c r="E936" t="s">
        <x:v>219</x:v>
      </x:c>
      <x:c r="F936" t="s">
        <x:v>33</x:v>
      </x:c>
      <x:c r="G936" t="s">
        <x:v>14</x:v>
      </x:c>
      <x:c r="I936" t="s">
        <x:v>35</x:v>
      </x:c>
    </x:row>
    <x:row r="937">
      <x:c r="A937" t="s">
        <x:v>9</x:v>
      </x:c>
      <x:c r="B937">
        <x:v>0.37912808523944103</x:v>
      </x:c>
      <x:c r="C937" t="s">
        <x:v>23</x:v>
      </x:c>
      <x:c r="D937" t="s">
        <x:v>11</x:v>
      </x:c>
      <x:c r="E937" t="s">
        <x:v>220</x:v>
      </x:c>
      <x:c r="F937" t="s">
        <x:v>33</x:v>
      </x:c>
      <x:c r="G937" t="s">
        <x:v>14</x:v>
      </x:c>
      <x:c r="I937" t="s">
        <x:v>35</x:v>
      </x:c>
    </x:row>
    <x:row r="938">
      <x:c r="A938" t="s">
        <x:v>17</x:v>
      </x:c>
      <x:c r="B938">
        <x:v>0.79744136333465498</x:v>
      </x:c>
      <x:c r="C938" t="s">
        <x:v>23</x:v>
      </x:c>
      <x:c r="D938" t="s">
        <x:v>11</x:v>
      </x:c>
      <x:c r="E938" t="s">
        <x:v>220</x:v>
      </x:c>
      <x:c r="F938" t="s">
        <x:v>33</x:v>
      </x:c>
      <x:c r="G938" t="s">
        <x:v>14</x:v>
      </x:c>
      <x:c r="I938" t="s">
        <x:v>35</x:v>
      </x:c>
    </x:row>
    <x:row r="939">
      <x:c r="A939" t="s">
        <x:v>18</x:v>
      </x:c>
      <x:c r="B939">
        <x:v>1.26260685920715</x:v>
      </x:c>
      <x:c r="C939" t="s">
        <x:v>23</x:v>
      </x:c>
      <x:c r="D939" t="s">
        <x:v>11</x:v>
      </x:c>
      <x:c r="E939" t="s">
        <x:v>220</x:v>
      </x:c>
      <x:c r="F939" t="s">
        <x:v>33</x:v>
      </x:c>
      <x:c r="G939" t="s">
        <x:v>14</x:v>
      </x:c>
      <x:c r="I939" t="s">
        <x:v>35</x:v>
      </x:c>
    </x:row>
    <x:row r="940">
      <x:c r="A940" t="s">
        <x:v>19</x:v>
      </x:c>
      <x:c r="B940">
        <x:v>1.12365780342911</x:v>
      </x:c>
      <x:c r="C940" t="s">
        <x:v>23</x:v>
      </x:c>
      <x:c r="D940" t="s">
        <x:v>11</x:v>
      </x:c>
      <x:c r="E940" t="s">
        <x:v>220</x:v>
      </x:c>
      <x:c r="F940" t="s">
        <x:v>33</x:v>
      </x:c>
      <x:c r="G940" t="s">
        <x:v>14</x:v>
      </x:c>
      <x:c r="I940" t="s">
        <x:v>35</x:v>
      </x:c>
    </x:row>
    <x:row r="941">
      <x:c r="A941" t="s">
        <x:v>20</x:v>
      </x:c>
      <x:c r="B941">
        <x:v>341607974961152</x:v>
      </x:c>
      <x:c r="C941" t="s">
        <x:v>23</x:v>
      </x:c>
      <x:c r="D941" t="s">
        <x:v>11</x:v>
      </x:c>
      <x:c r="E941" t="s">
        <x:v>220</x:v>
      </x:c>
      <x:c r="F941" t="s">
        <x:v>33</x:v>
      </x:c>
      <x:c r="G941" t="s">
        <x:v>14</x:v>
      </x:c>
      <x:c r="I941" t="s">
        <x:v>35</x:v>
      </x:c>
    </x:row>
    <x:row r="942">
      <x:c r="A942" t="s">
        <x:v>9</x:v>
      </x:c>
      <x:c r="C942" t="s">
        <x:v>10</x:v>
      </x:c>
      <x:c r="D942" t="s">
        <x:v>11</x:v>
      </x:c>
      <x:c r="E942" t="s">
        <x:v>221</x:v>
      </x:c>
      <x:c r="F942" t="s">
        <x:v>13</x:v>
      </x:c>
      <x:c r="G942" t="s">
        <x:v>27</x:v>
      </x:c>
      <x:c r="H942" t="s">
        <x:v>34</x:v>
      </x:c>
      <x:c r="I942" t="s">
        <x:v>16</x:v>
      </x:c>
    </x:row>
    <x:row r="943">
      <x:c r="A943" t="s">
        <x:v>17</x:v>
      </x:c>
      <x:c r="B943">
        <x:v>0.52697718143463101</x:v>
      </x:c>
      <x:c r="C943" t="s">
        <x:v>10</x:v>
      </x:c>
      <x:c r="D943" t="s">
        <x:v>11</x:v>
      </x:c>
      <x:c r="E943" t="s">
        <x:v>221</x:v>
      </x:c>
      <x:c r="F943" t="s">
        <x:v>13</x:v>
      </x:c>
      <x:c r="G943" t="s">
        <x:v>27</x:v>
      </x:c>
      <x:c r="H943" t="s">
        <x:v>34</x:v>
      </x:c>
      <x:c r="I943" t="s">
        <x:v>16</x:v>
      </x:c>
    </x:row>
    <x:row r="944">
      <x:c r="A944" t="s">
        <x:v>18</x:v>
      </x:c>
      <x:c r="B944">
        <x:v>0.58786171674728305</x:v>
      </x:c>
      <x:c r="C944" t="s">
        <x:v>10</x:v>
      </x:c>
      <x:c r="D944" t="s">
        <x:v>11</x:v>
      </x:c>
      <x:c r="E944" t="s">
        <x:v>221</x:v>
      </x:c>
      <x:c r="F944" t="s">
        <x:v>13</x:v>
      </x:c>
      <x:c r="G944" t="s">
        <x:v>27</x:v>
      </x:c>
      <x:c r="H944" t="s">
        <x:v>34</x:v>
      </x:c>
      <x:c r="I944" t="s">
        <x:v>16</x:v>
      </x:c>
    </x:row>
    <x:row r="945">
      <x:c r="A945" t="s">
        <x:v>19</x:v>
      </x:c>
      <x:c r="B945">
        <x:v>0.76672140751858697</x:v>
      </x:c>
      <x:c r="C945" t="s">
        <x:v>10</x:v>
      </x:c>
      <x:c r="D945" t="s">
        <x:v>11</x:v>
      </x:c>
      <x:c r="E945" t="s">
        <x:v>221</x:v>
      </x:c>
      <x:c r="F945" t="s">
        <x:v>13</x:v>
      </x:c>
      <x:c r="G945" t="s">
        <x:v>27</x:v>
      </x:c>
      <x:c r="H945" t="s">
        <x:v>34</x:v>
      </x:c>
      <x:c r="I945" t="s">
        <x:v>16</x:v>
      </x:c>
    </x:row>
    <x:row r="946">
      <x:c r="A946" t="s">
        <x:v>20</x:v>
      </x:c>
      <x:c r="B946">
        <x:v>402910210949120</x:v>
      </x:c>
      <x:c r="C946" t="s">
        <x:v>10</x:v>
      </x:c>
      <x:c r="D946" t="s">
        <x:v>11</x:v>
      </x:c>
      <x:c r="E946" t="s">
        <x:v>221</x:v>
      </x:c>
      <x:c r="F946" t="s">
        <x:v>13</x:v>
      </x:c>
      <x:c r="G946" t="s">
        <x:v>27</x:v>
      </x:c>
      <x:c r="H946" t="s">
        <x:v>34</x:v>
      </x:c>
      <x:c r="I946" t="s">
        <x:v>16</x:v>
      </x:c>
    </x:row>
    <x:row r="947">
      <x:c r="A947" t="s">
        <x:v>9</x:v>
      </x:c>
      <x:c r="C947" t="s">
        <x:v>10</x:v>
      </x:c>
      <x:c r="D947" t="s">
        <x:v>21</x:v>
      </x:c>
      <x:c r="E947" t="s">
        <x:v>222</x:v>
      </x:c>
      <x:c r="F947" t="s">
        <x:v>13</x:v>
      </x:c>
      <x:c r="G947" t="s">
        <x:v>27</x:v>
      </x:c>
      <x:c r="H947" t="s">
        <x:v>34</x:v>
      </x:c>
      <x:c r="I947" t="s">
        <x:v>16</x:v>
      </x:c>
    </x:row>
    <x:row r="948">
      <x:c r="A948" t="s">
        <x:v>17</x:v>
      </x:c>
      <x:c r="B948">
        <x:v>0.52697718143463101</x:v>
      </x:c>
      <x:c r="C948" t="s">
        <x:v>10</x:v>
      </x:c>
      <x:c r="D948" t="s">
        <x:v>21</x:v>
      </x:c>
      <x:c r="E948" t="s">
        <x:v>222</x:v>
      </x:c>
      <x:c r="F948" t="s">
        <x:v>13</x:v>
      </x:c>
      <x:c r="G948" t="s">
        <x:v>27</x:v>
      </x:c>
      <x:c r="H948" t="s">
        <x:v>34</x:v>
      </x:c>
      <x:c r="I948" t="s">
        <x:v>16</x:v>
      </x:c>
    </x:row>
    <x:row r="949">
      <x:c r="A949" t="s">
        <x:v>18</x:v>
      </x:c>
      <x:c r="B949">
        <x:v>0.58786171674728305</x:v>
      </x:c>
      <x:c r="C949" t="s">
        <x:v>10</x:v>
      </x:c>
      <x:c r="D949" t="s">
        <x:v>21</x:v>
      </x:c>
      <x:c r="E949" t="s">
        <x:v>222</x:v>
      </x:c>
      <x:c r="F949" t="s">
        <x:v>13</x:v>
      </x:c>
      <x:c r="G949" t="s">
        <x:v>27</x:v>
      </x:c>
      <x:c r="H949" t="s">
        <x:v>34</x:v>
      </x:c>
      <x:c r="I949" t="s">
        <x:v>16</x:v>
      </x:c>
    </x:row>
    <x:row r="950">
      <x:c r="A950" t="s">
        <x:v>19</x:v>
      </x:c>
      <x:c r="B950">
        <x:v>0.76672140751858697</x:v>
      </x:c>
      <x:c r="C950" t="s">
        <x:v>10</x:v>
      </x:c>
      <x:c r="D950" t="s">
        <x:v>21</x:v>
      </x:c>
      <x:c r="E950" t="s">
        <x:v>222</x:v>
      </x:c>
      <x:c r="F950" t="s">
        <x:v>13</x:v>
      </x:c>
      <x:c r="G950" t="s">
        <x:v>27</x:v>
      </x:c>
      <x:c r="H950" t="s">
        <x:v>34</x:v>
      </x:c>
      <x:c r="I950" t="s">
        <x:v>16</x:v>
      </x:c>
    </x:row>
    <x:row r="951">
      <x:c r="A951" t="s">
        <x:v>20</x:v>
      </x:c>
      <x:c r="B951">
        <x:v>402910210949120</x:v>
      </x:c>
      <x:c r="C951" t="s">
        <x:v>10</x:v>
      </x:c>
      <x:c r="D951" t="s">
        <x:v>21</x:v>
      </x:c>
      <x:c r="E951" t="s">
        <x:v>222</x:v>
      </x:c>
      <x:c r="F951" t="s">
        <x:v>13</x:v>
      </x:c>
      <x:c r="G951" t="s">
        <x:v>27</x:v>
      </x:c>
      <x:c r="H951" t="s">
        <x:v>34</x:v>
      </x:c>
      <x:c r="I951" t="s">
        <x:v>16</x:v>
      </x:c>
    </x:row>
    <x:row r="952">
      <x:c r="A952" t="s">
        <x:v>9</x:v>
      </x:c>
      <x:c r="B952">
        <x:v>0.815409798686205</x:v>
      </x:c>
      <x:c r="C952" t="s">
        <x:v>23</x:v>
      </x:c>
      <x:c r="D952" t="s">
        <x:v>21</x:v>
      </x:c>
      <x:c r="E952" t="s">
        <x:v>223</x:v>
      </x:c>
      <x:c r="F952" t="s">
        <x:v>13</x:v>
      </x:c>
      <x:c r="G952" t="s">
        <x:v>27</x:v>
      </x:c>
      <x:c r="H952" t="s">
        <x:v>34</x:v>
      </x:c>
      <x:c r="I952" t="s">
        <x:v>16</x:v>
      </x:c>
    </x:row>
    <x:row r="953">
      <x:c r="A953" t="s">
        <x:v>17</x:v>
      </x:c>
      <x:c r="B953">
        <x:v>0.83242988586425704</x:v>
      </x:c>
      <x:c r="C953" t="s">
        <x:v>23</x:v>
      </x:c>
      <x:c r="D953" t="s">
        <x:v>21</x:v>
      </x:c>
      <x:c r="E953" t="s">
        <x:v>223</x:v>
      </x:c>
      <x:c r="F953" t="s">
        <x:v>13</x:v>
      </x:c>
      <x:c r="G953" t="s">
        <x:v>27</x:v>
      </x:c>
      <x:c r="H953" t="s">
        <x:v>34</x:v>
      </x:c>
      <x:c r="I953" t="s">
        <x:v>16</x:v>
      </x:c>
    </x:row>
    <x:row r="954">
      <x:c r="A954" t="s">
        <x:v>18</x:v>
      </x:c>
      <x:c r="B954">
        <x:v>0.85236096382141102</x:v>
      </x:c>
      <x:c r="C954" t="s">
        <x:v>23</x:v>
      </x:c>
      <x:c r="D954" t="s">
        <x:v>21</x:v>
      </x:c>
      <x:c r="E954" t="s">
        <x:v>223</x:v>
      </x:c>
      <x:c r="F954" t="s">
        <x:v>13</x:v>
      </x:c>
      <x:c r="G954" t="s">
        <x:v>27</x:v>
      </x:c>
      <x:c r="H954" t="s">
        <x:v>34</x:v>
      </x:c>
      <x:c r="I954" t="s">
        <x:v>16</x:v>
      </x:c>
    </x:row>
    <x:row r="955">
      <x:c r="A955" t="s">
        <x:v>19</x:v>
      </x:c>
      <x:c r="B955">
        <x:v>0.92323397024882603</x:v>
      </x:c>
      <x:c r="C955" t="s">
        <x:v>23</x:v>
      </x:c>
      <x:c r="D955" t="s">
        <x:v>21</x:v>
      </x:c>
      <x:c r="E955" t="s">
        <x:v>223</x:v>
      </x:c>
      <x:c r="F955" t="s">
        <x:v>13</x:v>
      </x:c>
      <x:c r="G955" t="s">
        <x:v>27</x:v>
      </x:c>
      <x:c r="H955" t="s">
        <x:v>34</x:v>
      </x:c>
      <x:c r="I955" t="s">
        <x:v>16</x:v>
      </x:c>
    </x:row>
    <x:row r="956">
      <x:c r="A956" t="s">
        <x:v>20</x:v>
      </x:c>
      <x:c r="B956">
        <x:v>2060236219219960</x:v>
      </x:c>
      <x:c r="C956" t="s">
        <x:v>23</x:v>
      </x:c>
      <x:c r="D956" t="s">
        <x:v>21</x:v>
      </x:c>
      <x:c r="E956" t="s">
        <x:v>223</x:v>
      </x:c>
      <x:c r="F956" t="s">
        <x:v>13</x:v>
      </x:c>
      <x:c r="G956" t="s">
        <x:v>27</x:v>
      </x:c>
      <x:c r="H956" t="s">
        <x:v>34</x:v>
      </x:c>
      <x:c r="I956" t="s">
        <x:v>16</x:v>
      </x:c>
    </x:row>
    <x:row r="957">
      <x:c r="A957" t="s">
        <x:v>9</x:v>
      </x:c>
      <x:c r="B957">
        <x:v>0.815409798686205</x:v>
      </x:c>
      <x:c r="C957" t="s">
        <x:v>23</x:v>
      </x:c>
      <x:c r="D957" t="s">
        <x:v>11</x:v>
      </x:c>
      <x:c r="E957" t="s">
        <x:v>224</x:v>
      </x:c>
      <x:c r="F957" t="s">
        <x:v>13</x:v>
      </x:c>
      <x:c r="G957" t="s">
        <x:v>27</x:v>
      </x:c>
      <x:c r="H957" t="s">
        <x:v>34</x:v>
      </x:c>
      <x:c r="I957" t="s">
        <x:v>16</x:v>
      </x:c>
    </x:row>
    <x:row r="958">
      <x:c r="A958" t="s">
        <x:v>17</x:v>
      </x:c>
      <x:c r="B958">
        <x:v>0.83242988586425704</x:v>
      </x:c>
      <x:c r="C958" t="s">
        <x:v>23</x:v>
      </x:c>
      <x:c r="D958" t="s">
        <x:v>11</x:v>
      </x:c>
      <x:c r="E958" t="s">
        <x:v>224</x:v>
      </x:c>
      <x:c r="F958" t="s">
        <x:v>13</x:v>
      </x:c>
      <x:c r="G958" t="s">
        <x:v>27</x:v>
      </x:c>
      <x:c r="H958" t="s">
        <x:v>34</x:v>
      </x:c>
      <x:c r="I958" t="s">
        <x:v>16</x:v>
      </x:c>
    </x:row>
    <x:row r="959">
      <x:c r="A959" t="s">
        <x:v>18</x:v>
      </x:c>
      <x:c r="B959">
        <x:v>0.85236096382141102</x:v>
      </x:c>
      <x:c r="C959" t="s">
        <x:v>23</x:v>
      </x:c>
      <x:c r="D959" t="s">
        <x:v>11</x:v>
      </x:c>
      <x:c r="E959" t="s">
        <x:v>224</x:v>
      </x:c>
      <x:c r="F959" t="s">
        <x:v>13</x:v>
      </x:c>
      <x:c r="G959" t="s">
        <x:v>27</x:v>
      </x:c>
      <x:c r="H959" t="s">
        <x:v>34</x:v>
      </x:c>
      <x:c r="I959" t="s">
        <x:v>16</x:v>
      </x:c>
    </x:row>
    <x:row r="960">
      <x:c r="A960" t="s">
        <x:v>19</x:v>
      </x:c>
      <x:c r="B960">
        <x:v>0.92323397024882603</x:v>
      </x:c>
      <x:c r="C960" t="s">
        <x:v>23</x:v>
      </x:c>
      <x:c r="D960" t="s">
        <x:v>11</x:v>
      </x:c>
      <x:c r="E960" t="s">
        <x:v>224</x:v>
      </x:c>
      <x:c r="F960" t="s">
        <x:v>13</x:v>
      </x:c>
      <x:c r="G960" t="s">
        <x:v>27</x:v>
      </x:c>
      <x:c r="H960" t="s">
        <x:v>34</x:v>
      </x:c>
      <x:c r="I960" t="s">
        <x:v>16</x:v>
      </x:c>
    </x:row>
    <x:row r="961">
      <x:c r="A961" t="s">
        <x:v>20</x:v>
      </x:c>
      <x:c r="B961">
        <x:v>2060236219219960</x:v>
      </x:c>
      <x:c r="C961" t="s">
        <x:v>23</x:v>
      </x:c>
      <x:c r="D961" t="s">
        <x:v>11</x:v>
      </x:c>
      <x:c r="E961" t="s">
        <x:v>224</x:v>
      </x:c>
      <x:c r="F961" t="s">
        <x:v>13</x:v>
      </x:c>
      <x:c r="G961" t="s">
        <x:v>27</x:v>
      </x:c>
      <x:c r="H961" t="s">
        <x:v>34</x:v>
      </x:c>
      <x:c r="I961" t="s">
        <x:v>16</x:v>
      </x:c>
    </x:row>
    <x:row r="962">
      <x:c r="A962" t="s">
        <x:v>9</x:v>
      </x:c>
      <x:c r="B962">
        <x:v>0.96255605692596202</x:v>
      </x:c>
      <x:c r="C962" t="s">
        <x:v>10</x:v>
      </x:c>
      <x:c r="D962" t="s">
        <x:v>11</x:v>
      </x:c>
      <x:c r="E962" t="s">
        <x:v>225</x:v>
      </x:c>
      <x:c r="F962" t="s">
        <x:v>33</x:v>
      </x:c>
      <x:c r="G962" t="s">
        <x:v>14</x:v>
      </x:c>
      <x:c r="I962" t="s">
        <x:v>16</x:v>
      </x:c>
    </x:row>
    <x:row r="963">
      <x:c r="A963" t="s">
        <x:v>17</x:v>
      </x:c>
      <x:c r="B963">
        <x:v>3.4620963037014001E-2</x:v>
      </x:c>
      <x:c r="C963" t="s">
        <x:v>10</x:v>
      </x:c>
      <x:c r="D963" t="s">
        <x:v>11</x:v>
      </x:c>
      <x:c r="E963" t="s">
        <x:v>225</x:v>
      </x:c>
      <x:c r="F963" t="s">
        <x:v>33</x:v>
      </x:c>
      <x:c r="G963" t="s">
        <x:v>14</x:v>
      </x:c>
      <x:c r="I963" t="s">
        <x:v>16</x:v>
      </x:c>
    </x:row>
    <x:row r="964">
      <x:c r="A964" t="s">
        <x:v>18</x:v>
      </x:c>
      <x:c r="B964">
        <x:v>7.0621473714709204E-3</x:v>
      </x:c>
      <x:c r="C964" t="s">
        <x:v>10</x:v>
      </x:c>
      <x:c r="D964" t="s">
        <x:v>11</x:v>
      </x:c>
      <x:c r="E964" t="s">
        <x:v>225</x:v>
      </x:c>
      <x:c r="F964" t="s">
        <x:v>33</x:v>
      </x:c>
      <x:c r="G964" t="s">
        <x:v>14</x:v>
      </x:c>
      <x:c r="I964" t="s">
        <x:v>16</x:v>
      </x:c>
    </x:row>
    <x:row r="965">
      <x:c r="A965" t="s">
        <x:v>19</x:v>
      </x:c>
      <x:c r="B965">
        <x:v>8.4036583530453707E-2</x:v>
      </x:c>
      <x:c r="C965" t="s">
        <x:v>10</x:v>
      </x:c>
      <x:c r="D965" t="s">
        <x:v>11</x:v>
      </x:c>
      <x:c r="E965" t="s">
        <x:v>225</x:v>
      </x:c>
      <x:c r="F965" t="s">
        <x:v>33</x:v>
      </x:c>
      <x:c r="G965" t="s">
        <x:v>14</x:v>
      </x:c>
      <x:c r="I965" t="s">
        <x:v>16</x:v>
      </x:c>
    </x:row>
    <x:row r="966">
      <x:c r="A966" t="s">
        <x:v>20</x:v>
      </x:c>
      <x:c r="B966">
        <x:v>13774198145024</x:v>
      </x:c>
      <x:c r="C966" t="s">
        <x:v>10</x:v>
      </x:c>
      <x:c r="D966" t="s">
        <x:v>11</x:v>
      </x:c>
      <x:c r="E966" t="s">
        <x:v>225</x:v>
      </x:c>
      <x:c r="F966" t="s">
        <x:v>33</x:v>
      </x:c>
      <x:c r="G966" t="s">
        <x:v>14</x:v>
      </x:c>
      <x:c r="I966" t="s">
        <x:v>16</x:v>
      </x:c>
    </x:row>
    <x:row r="967">
      <x:c r="A967" t="s">
        <x:v>9</x:v>
      </x:c>
      <x:c r="B967">
        <x:v>0.96255605692596202</x:v>
      </x:c>
      <x:c r="C967" t="s">
        <x:v>10</x:v>
      </x:c>
      <x:c r="D967" t="s">
        <x:v>21</x:v>
      </x:c>
      <x:c r="E967" t="s">
        <x:v>226</x:v>
      </x:c>
      <x:c r="F967" t="s">
        <x:v>33</x:v>
      </x:c>
      <x:c r="G967" t="s">
        <x:v>14</x:v>
      </x:c>
      <x:c r="I967" t="s">
        <x:v>16</x:v>
      </x:c>
    </x:row>
    <x:row r="968">
      <x:c r="A968" t="s">
        <x:v>17</x:v>
      </x:c>
      <x:c r="B968">
        <x:v>3.4620963037014001E-2</x:v>
      </x:c>
      <x:c r="C968" t="s">
        <x:v>10</x:v>
      </x:c>
      <x:c r="D968" t="s">
        <x:v>21</x:v>
      </x:c>
      <x:c r="E968" t="s">
        <x:v>226</x:v>
      </x:c>
      <x:c r="F968" t="s">
        <x:v>33</x:v>
      </x:c>
      <x:c r="G968" t="s">
        <x:v>14</x:v>
      </x:c>
      <x:c r="I968" t="s">
        <x:v>16</x:v>
      </x:c>
    </x:row>
    <x:row r="969">
      <x:c r="A969" t="s">
        <x:v>18</x:v>
      </x:c>
      <x:c r="B969">
        <x:v>7.0621473714709204E-3</x:v>
      </x:c>
      <x:c r="C969" t="s">
        <x:v>10</x:v>
      </x:c>
      <x:c r="D969" t="s">
        <x:v>21</x:v>
      </x:c>
      <x:c r="E969" t="s">
        <x:v>226</x:v>
      </x:c>
      <x:c r="F969" t="s">
        <x:v>33</x:v>
      </x:c>
      <x:c r="G969" t="s">
        <x:v>14</x:v>
      </x:c>
      <x:c r="I969" t="s">
        <x:v>16</x:v>
      </x:c>
    </x:row>
    <x:row r="970">
      <x:c r="A970" t="s">
        <x:v>19</x:v>
      </x:c>
      <x:c r="B970">
        <x:v>8.4036583530453707E-2</x:v>
      </x:c>
      <x:c r="C970" t="s">
        <x:v>10</x:v>
      </x:c>
      <x:c r="D970" t="s">
        <x:v>21</x:v>
      </x:c>
      <x:c r="E970" t="s">
        <x:v>226</x:v>
      </x:c>
      <x:c r="F970" t="s">
        <x:v>33</x:v>
      </x:c>
      <x:c r="G970" t="s">
        <x:v>14</x:v>
      </x:c>
      <x:c r="I970" t="s">
        <x:v>16</x:v>
      </x:c>
    </x:row>
    <x:row r="971">
      <x:c r="A971" t="s">
        <x:v>20</x:v>
      </x:c>
      <x:c r="B971">
        <x:v>13774198145024</x:v>
      </x:c>
      <x:c r="C971" t="s">
        <x:v>10</x:v>
      </x:c>
      <x:c r="D971" t="s">
        <x:v>21</x:v>
      </x:c>
      <x:c r="E971" t="s">
        <x:v>226</x:v>
      </x:c>
      <x:c r="F971" t="s">
        <x:v>33</x:v>
      </x:c>
      <x:c r="G971" t="s">
        <x:v>14</x:v>
      </x:c>
      <x:c r="I971" t="s">
        <x:v>16</x:v>
      </x:c>
    </x:row>
    <x:row r="972">
      <x:c r="A972" t="s">
        <x:v>9</x:v>
      </x:c>
      <x:c r="B972">
        <x:v>0.87956110100991802</x:v>
      </x:c>
      <x:c r="C972" t="s">
        <x:v>23</x:v>
      </x:c>
      <x:c r="D972" t="s">
        <x:v>21</x:v>
      </x:c>
      <x:c r="E972" t="s">
        <x:v>227</x:v>
      </x:c>
      <x:c r="F972" t="s">
        <x:v>33</x:v>
      </x:c>
      <x:c r="G972" t="s">
        <x:v>14</x:v>
      </x:c>
      <x:c r="I972" t="s">
        <x:v>16</x:v>
      </x:c>
    </x:row>
    <x:row r="973">
      <x:c r="A973" t="s">
        <x:v>17</x:v>
      </x:c>
      <x:c r="B973">
        <x:v>0.23248873651027599</x:v>
      </x:c>
      <x:c r="C973" t="s">
        <x:v>23</x:v>
      </x:c>
      <x:c r="D973" t="s">
        <x:v>21</x:v>
      </x:c>
      <x:c r="E973" t="s">
        <x:v>227</x:v>
      </x:c>
      <x:c r="F973" t="s">
        <x:v>33</x:v>
      </x:c>
      <x:c r="G973" t="s">
        <x:v>14</x:v>
      </x:c>
      <x:c r="I973" t="s">
        <x:v>16</x:v>
      </x:c>
    </x:row>
    <x:row r="974">
      <x:c r="A974" t="s">
        <x:v>18</x:v>
      </x:c>
      <x:c r="B974">
        <x:v>0.229737758636474</x:v>
      </x:c>
      <x:c r="C974" t="s">
        <x:v>23</x:v>
      </x:c>
      <x:c r="D974" t="s">
        <x:v>21</x:v>
      </x:c>
      <x:c r="E974" t="s">
        <x:v>227</x:v>
      </x:c>
      <x:c r="F974" t="s">
        <x:v>33</x:v>
      </x:c>
      <x:c r="G974" t="s">
        <x:v>14</x:v>
      </x:c>
      <x:c r="I974" t="s">
        <x:v>16</x:v>
      </x:c>
    </x:row>
    <x:row r="975">
      <x:c r="A975" t="s">
        <x:v>19</x:v>
      </x:c>
      <x:c r="B975">
        <x:v>0.47930966883266002</x:v>
      </x:c>
      <x:c r="C975" t="s">
        <x:v>23</x:v>
      </x:c>
      <x:c r="D975" t="s">
        <x:v>21</x:v>
      </x:c>
      <x:c r="E975" t="s">
        <x:v>227</x:v>
      </x:c>
      <x:c r="F975" t="s">
        <x:v>33</x:v>
      </x:c>
      <x:c r="G975" t="s">
        <x:v>14</x:v>
      </x:c>
      <x:c r="I975" t="s">
        <x:v>16</x:v>
      </x:c>
    </x:row>
    <x:row r="976">
      <x:c r="A976" t="s">
        <x:v>20</x:v>
      </x:c>
      <x:c r="B976">
        <x:v>82795107975168</x:v>
      </x:c>
      <x:c r="C976" t="s">
        <x:v>23</x:v>
      </x:c>
      <x:c r="D976" t="s">
        <x:v>21</x:v>
      </x:c>
      <x:c r="E976" t="s">
        <x:v>227</x:v>
      </x:c>
      <x:c r="F976" t="s">
        <x:v>33</x:v>
      </x:c>
      <x:c r="G976" t="s">
        <x:v>14</x:v>
      </x:c>
      <x:c r="I976" t="s">
        <x:v>16</x:v>
      </x:c>
    </x:row>
    <x:row r="977">
      <x:c r="A977" t="s">
        <x:v>9</x:v>
      </x:c>
      <x:c r="B977">
        <x:v>0.87956110100991802</x:v>
      </x:c>
      <x:c r="C977" t="s">
        <x:v>23</x:v>
      </x:c>
      <x:c r="D977" t="s">
        <x:v>11</x:v>
      </x:c>
      <x:c r="E977" t="s">
        <x:v>228</x:v>
      </x:c>
      <x:c r="F977" t="s">
        <x:v>33</x:v>
      </x:c>
      <x:c r="G977" t="s">
        <x:v>14</x:v>
      </x:c>
      <x:c r="I977" t="s">
        <x:v>16</x:v>
      </x:c>
    </x:row>
    <x:row r="978">
      <x:c r="A978" t="s">
        <x:v>17</x:v>
      </x:c>
      <x:c r="B978">
        <x:v>0.23248873651027599</x:v>
      </x:c>
      <x:c r="C978" t="s">
        <x:v>23</x:v>
      </x:c>
      <x:c r="D978" t="s">
        <x:v>11</x:v>
      </x:c>
      <x:c r="E978" t="s">
        <x:v>228</x:v>
      </x:c>
      <x:c r="F978" t="s">
        <x:v>33</x:v>
      </x:c>
      <x:c r="G978" t="s">
        <x:v>14</x:v>
      </x:c>
      <x:c r="I978" t="s">
        <x:v>16</x:v>
      </x:c>
    </x:row>
    <x:row r="979">
      <x:c r="A979" t="s">
        <x:v>18</x:v>
      </x:c>
      <x:c r="B979">
        <x:v>0.229737758636474</x:v>
      </x:c>
      <x:c r="C979" t="s">
        <x:v>23</x:v>
      </x:c>
      <x:c r="D979" t="s">
        <x:v>11</x:v>
      </x:c>
      <x:c r="E979" t="s">
        <x:v>228</x:v>
      </x:c>
      <x:c r="F979" t="s">
        <x:v>33</x:v>
      </x:c>
      <x:c r="G979" t="s">
        <x:v>14</x:v>
      </x:c>
      <x:c r="I979" t="s">
        <x:v>16</x:v>
      </x:c>
    </x:row>
    <x:row r="980">
      <x:c r="A980" t="s">
        <x:v>19</x:v>
      </x:c>
      <x:c r="B980">
        <x:v>0.47930966883266002</x:v>
      </x:c>
      <x:c r="C980" t="s">
        <x:v>23</x:v>
      </x:c>
      <x:c r="D980" t="s">
        <x:v>11</x:v>
      </x:c>
      <x:c r="E980" t="s">
        <x:v>228</x:v>
      </x:c>
      <x:c r="F980" t="s">
        <x:v>33</x:v>
      </x:c>
      <x:c r="G980" t="s">
        <x:v>14</x:v>
      </x:c>
      <x:c r="I980" t="s">
        <x:v>16</x:v>
      </x:c>
    </x:row>
    <x:row r="981">
      <x:c r="A981" t="s">
        <x:v>20</x:v>
      </x:c>
      <x:c r="B981">
        <x:v>82795107975168</x:v>
      </x:c>
      <x:c r="C981" t="s">
        <x:v>23</x:v>
      </x:c>
      <x:c r="D981" t="s">
        <x:v>11</x:v>
      </x:c>
      <x:c r="E981" t="s">
        <x:v>228</x:v>
      </x:c>
      <x:c r="F981" t="s">
        <x:v>33</x:v>
      </x:c>
      <x:c r="G981" t="s">
        <x:v>14</x:v>
      </x:c>
      <x:c r="I981" t="s">
        <x:v>16</x:v>
      </x:c>
    </x:row>
    <x:row r="982">
      <x:c r="A982" t="s">
        <x:v>9</x:v>
      </x:c>
      <x:c r="C982" t="s">
        <x:v>10</x:v>
      </x:c>
      <x:c r="D982" t="s">
        <x:v>11</x:v>
      </x:c>
      <x:c r="E982" t="s">
        <x:v>229</x:v>
      </x:c>
      <x:c r="F982" t="s">
        <x:v>13</x:v>
      </x:c>
      <x:c r="G982" t="s">
        <x:v>27</x:v>
      </x:c>
      <x:c r="H982" t="s">
        <x:v>34</x:v>
      </x:c>
      <x:c r="I982" t="s">
        <x:v>40</x:v>
      </x:c>
    </x:row>
    <x:row r="983">
      <x:c r="A983" t="s">
        <x:v>17</x:v>
      </x:c>
      <x:c r="B983">
        <x:v>0.98619359731674106</x:v>
      </x:c>
      <x:c r="C983" t="s">
        <x:v>10</x:v>
      </x:c>
      <x:c r="D983" t="s">
        <x:v>11</x:v>
      </x:c>
      <x:c r="E983" t="s">
        <x:v>229</x:v>
      </x:c>
      <x:c r="F983" t="s">
        <x:v>13</x:v>
      </x:c>
      <x:c r="G983" t="s">
        <x:v>27</x:v>
      </x:c>
      <x:c r="H983" t="s">
        <x:v>34</x:v>
      </x:c>
      <x:c r="I983" t="s">
        <x:v>40</x:v>
      </x:c>
    </x:row>
    <x:row r="984">
      <x:c r="A984" t="s">
        <x:v>18</x:v>
      </x:c>
      <x:c r="B984">
        <x:v>1.58870005607604</x:v>
      </x:c>
      <x:c r="C984" t="s">
        <x:v>10</x:v>
      </x:c>
      <x:c r="D984" t="s">
        <x:v>11</x:v>
      </x:c>
      <x:c r="E984" t="s">
        <x:v>229</x:v>
      </x:c>
      <x:c r="F984" t="s">
        <x:v>13</x:v>
      </x:c>
      <x:c r="G984" t="s">
        <x:v>27</x:v>
      </x:c>
      <x:c r="H984" t="s">
        <x:v>34</x:v>
      </x:c>
      <x:c r="I984" t="s">
        <x:v>40</x:v>
      </x:c>
    </x:row>
    <x:row r="985">
      <x:c r="A985" t="s">
        <x:v>19</x:v>
      </x:c>
      <x:c r="B985">
        <x:v>1.2604364545966</x:v>
      </x:c>
      <x:c r="C985" t="s">
        <x:v>10</x:v>
      </x:c>
      <x:c r="D985" t="s">
        <x:v>11</x:v>
      </x:c>
      <x:c r="E985" t="s">
        <x:v>229</x:v>
      </x:c>
      <x:c r="F985" t="s">
        <x:v>13</x:v>
      </x:c>
      <x:c r="G985" t="s">
        <x:v>27</x:v>
      </x:c>
      <x:c r="H985" t="s">
        <x:v>34</x:v>
      </x:c>
      <x:c r="I985" t="s">
        <x:v>40</x:v>
      </x:c>
    </x:row>
    <x:row r="986">
      <x:c r="A986" t="s">
        <x:v>20</x:v>
      </x:c>
      <x:c r="B986">
        <x:v>981423850782720</x:v>
      </x:c>
      <x:c r="C986" t="s">
        <x:v>10</x:v>
      </x:c>
      <x:c r="D986" t="s">
        <x:v>11</x:v>
      </x:c>
      <x:c r="E986" t="s">
        <x:v>229</x:v>
      </x:c>
      <x:c r="F986" t="s">
        <x:v>13</x:v>
      </x:c>
      <x:c r="G986" t="s">
        <x:v>27</x:v>
      </x:c>
      <x:c r="H986" t="s">
        <x:v>34</x:v>
      </x:c>
      <x:c r="I986" t="s">
        <x:v>40</x:v>
      </x:c>
    </x:row>
    <x:row r="987">
      <x:c r="A987" t="s">
        <x:v>9</x:v>
      </x:c>
      <x:c r="C987" t="s">
        <x:v>10</x:v>
      </x:c>
      <x:c r="D987" t="s">
        <x:v>21</x:v>
      </x:c>
      <x:c r="E987" t="s">
        <x:v>230</x:v>
      </x:c>
      <x:c r="F987" t="s">
        <x:v>13</x:v>
      </x:c>
      <x:c r="G987" t="s">
        <x:v>27</x:v>
      </x:c>
      <x:c r="H987" t="s">
        <x:v>34</x:v>
      </x:c>
      <x:c r="I987" t="s">
        <x:v>40</x:v>
      </x:c>
    </x:row>
    <x:row r="988">
      <x:c r="A988" t="s">
        <x:v>17</x:v>
      </x:c>
      <x:c r="B988">
        <x:v>0.98619359731674106</x:v>
      </x:c>
      <x:c r="C988" t="s">
        <x:v>10</x:v>
      </x:c>
      <x:c r="D988" t="s">
        <x:v>21</x:v>
      </x:c>
      <x:c r="E988" t="s">
        <x:v>230</x:v>
      </x:c>
      <x:c r="F988" t="s">
        <x:v>13</x:v>
      </x:c>
      <x:c r="G988" t="s">
        <x:v>27</x:v>
      </x:c>
      <x:c r="H988" t="s">
        <x:v>34</x:v>
      </x:c>
      <x:c r="I988" t="s">
        <x:v>40</x:v>
      </x:c>
    </x:row>
    <x:row r="989">
      <x:c r="A989" t="s">
        <x:v>18</x:v>
      </x:c>
      <x:c r="B989">
        <x:v>1.58870005607604</x:v>
      </x:c>
      <x:c r="C989" t="s">
        <x:v>10</x:v>
      </x:c>
      <x:c r="D989" t="s">
        <x:v>21</x:v>
      </x:c>
      <x:c r="E989" t="s">
        <x:v>230</x:v>
      </x:c>
      <x:c r="F989" t="s">
        <x:v>13</x:v>
      </x:c>
      <x:c r="G989" t="s">
        <x:v>27</x:v>
      </x:c>
      <x:c r="H989" t="s">
        <x:v>34</x:v>
      </x:c>
      <x:c r="I989" t="s">
        <x:v>40</x:v>
      </x:c>
    </x:row>
    <x:row r="990">
      <x:c r="A990" t="s">
        <x:v>19</x:v>
      </x:c>
      <x:c r="B990">
        <x:v>1.2604364545966</x:v>
      </x:c>
      <x:c r="C990" t="s">
        <x:v>10</x:v>
      </x:c>
      <x:c r="D990" t="s">
        <x:v>21</x:v>
      </x:c>
      <x:c r="E990" t="s">
        <x:v>230</x:v>
      </x:c>
      <x:c r="F990" t="s">
        <x:v>13</x:v>
      </x:c>
      <x:c r="G990" t="s">
        <x:v>27</x:v>
      </x:c>
      <x:c r="H990" t="s">
        <x:v>34</x:v>
      </x:c>
      <x:c r="I990" t="s">
        <x:v>40</x:v>
      </x:c>
    </x:row>
    <x:row r="991">
      <x:c r="A991" t="s">
        <x:v>20</x:v>
      </x:c>
      <x:c r="B991">
        <x:v>981423850782720</x:v>
      </x:c>
      <x:c r="C991" t="s">
        <x:v>10</x:v>
      </x:c>
      <x:c r="D991" t="s">
        <x:v>21</x:v>
      </x:c>
      <x:c r="E991" t="s">
        <x:v>230</x:v>
      </x:c>
      <x:c r="F991" t="s">
        <x:v>13</x:v>
      </x:c>
      <x:c r="G991" t="s">
        <x:v>27</x:v>
      </x:c>
      <x:c r="H991" t="s">
        <x:v>34</x:v>
      </x:c>
      <x:c r="I991" t="s">
        <x:v>40</x:v>
      </x:c>
    </x:row>
    <x:row r="992">
      <x:c r="A992" t="s">
        <x:v>9</x:v>
      </x:c>
      <x:c r="B992">
        <x:v>0.27764715062084699</x:v>
      </x:c>
      <x:c r="C992" t="s">
        <x:v>23</x:v>
      </x:c>
      <x:c r="D992" t="s">
        <x:v>21</x:v>
      </x:c>
      <x:c r="E992" t="s">
        <x:v>231</x:v>
      </x:c>
      <x:c r="F992" t="s">
        <x:v>13</x:v>
      </x:c>
      <x:c r="G992" t="s">
        <x:v>27</x:v>
      </x:c>
      <x:c r="H992" t="s">
        <x:v>34</x:v>
      </x:c>
      <x:c r="I992" t="s">
        <x:v>40</x:v>
      </x:c>
    </x:row>
    <x:row r="993">
      <x:c r="A993" t="s">
        <x:v>17</x:v>
      </x:c>
      <x:c r="B993">
        <x:v>12548955</x:v>
      </x:c>
      <x:c r="C993" t="s">
        <x:v>23</x:v>
      </x:c>
      <x:c r="D993" t="s">
        <x:v>21</x:v>
      </x:c>
      <x:c r="E993" t="s">
        <x:v>231</x:v>
      </x:c>
      <x:c r="F993" t="s">
        <x:v>13</x:v>
      </x:c>
      <x:c r="G993" t="s">
        <x:v>27</x:v>
      </x:c>
      <x:c r="H993" t="s">
        <x:v>34</x:v>
      </x:c>
      <x:c r="I993" t="s">
        <x:v>40</x:v>
      </x:c>
    </x:row>
    <x:row r="994">
      <x:c r="A994" t="s">
        <x:v>18</x:v>
      </x:c>
      <x:c r="B994" s="1">
        <x:v>4.2671006891900896E+16</x:v>
      </x:c>
      <x:c r="C994" t="s">
        <x:v>23</x:v>
      </x:c>
      <x:c r="D994" t="s">
        <x:v>21</x:v>
      </x:c>
      <x:c r="E994" t="s">
        <x:v>231</x:v>
      </x:c>
      <x:c r="F994" t="s">
        <x:v>13</x:v>
      </x:c>
      <x:c r="G994" t="s">
        <x:v>27</x:v>
      </x:c>
      <x:c r="H994" t="s">
        <x:v>34</x:v>
      </x:c>
      <x:c r="I994" t="s">
        <x:v>40</x:v>
      </x:c>
    </x:row>
    <x:row r="995">
      <x:c r="A995" t="s">
        <x:v>19</x:v>
      </x:c>
      <x:c r="B995">
        <x:v>206569617.54309499</x:v>
      </x:c>
      <x:c r="C995" t="s">
        <x:v>23</x:v>
      </x:c>
      <x:c r="D995" t="s">
        <x:v>21</x:v>
      </x:c>
      <x:c r="E995" t="s">
        <x:v>231</x:v>
      </x:c>
      <x:c r="F995" t="s">
        <x:v>13</x:v>
      </x:c>
      <x:c r="G995" t="s">
        <x:v>27</x:v>
      </x:c>
      <x:c r="H995" t="s">
        <x:v>34</x:v>
      </x:c>
      <x:c r="I995" t="s">
        <x:v>40</x:v>
      </x:c>
    </x:row>
    <x:row r="996">
      <x:c r="A996" t="s">
        <x:v>20</x:v>
      </x:c>
      <x:c r="B996" s="1">
        <x:v>3.31080499328932E+19</x:v>
      </x:c>
      <x:c r="C996" t="s">
        <x:v>23</x:v>
      </x:c>
      <x:c r="D996" t="s">
        <x:v>21</x:v>
      </x:c>
      <x:c r="E996" t="s">
        <x:v>231</x:v>
      </x:c>
      <x:c r="F996" t="s">
        <x:v>13</x:v>
      </x:c>
      <x:c r="G996" t="s">
        <x:v>27</x:v>
      </x:c>
      <x:c r="H996" t="s">
        <x:v>34</x:v>
      </x:c>
      <x:c r="I996" t="s">
        <x:v>40</x:v>
      </x:c>
    </x:row>
    <x:row r="997">
      <x:c r="A997" t="s">
        <x:v>9</x:v>
      </x:c>
      <x:c r="B997">
        <x:v>0.27764715062084699</x:v>
      </x:c>
      <x:c r="C997" t="s">
        <x:v>23</x:v>
      </x:c>
      <x:c r="D997" t="s">
        <x:v>11</x:v>
      </x:c>
      <x:c r="E997" t="s">
        <x:v>232</x:v>
      </x:c>
      <x:c r="F997" t="s">
        <x:v>13</x:v>
      </x:c>
      <x:c r="G997" t="s">
        <x:v>27</x:v>
      </x:c>
      <x:c r="H997" t="s">
        <x:v>34</x:v>
      </x:c>
      <x:c r="I997" t="s">
        <x:v>40</x:v>
      </x:c>
    </x:row>
    <x:row r="998">
      <x:c r="A998" t="s">
        <x:v>17</x:v>
      </x:c>
      <x:c r="B998">
        <x:v>12548955</x:v>
      </x:c>
      <x:c r="C998" t="s">
        <x:v>23</x:v>
      </x:c>
      <x:c r="D998" t="s">
        <x:v>11</x:v>
      </x:c>
      <x:c r="E998" t="s">
        <x:v>232</x:v>
      </x:c>
      <x:c r="F998" t="s">
        <x:v>13</x:v>
      </x:c>
      <x:c r="G998" t="s">
        <x:v>27</x:v>
      </x:c>
      <x:c r="H998" t="s">
        <x:v>34</x:v>
      </x:c>
      <x:c r="I998" t="s">
        <x:v>40</x:v>
      </x:c>
    </x:row>
    <x:row r="999">
      <x:c r="A999" t="s">
        <x:v>18</x:v>
      </x:c>
      <x:c r="B999" s="1">
        <x:v>4.2671006891900896E+16</x:v>
      </x:c>
      <x:c r="C999" t="s">
        <x:v>23</x:v>
      </x:c>
      <x:c r="D999" t="s">
        <x:v>11</x:v>
      </x:c>
      <x:c r="E999" t="s">
        <x:v>232</x:v>
      </x:c>
      <x:c r="F999" t="s">
        <x:v>13</x:v>
      </x:c>
      <x:c r="G999" t="s">
        <x:v>27</x:v>
      </x:c>
      <x:c r="H999" t="s">
        <x:v>34</x:v>
      </x:c>
      <x:c r="I999" t="s">
        <x:v>40</x:v>
      </x:c>
    </x:row>
    <x:row r="1000">
      <x:c r="A1000" t="s">
        <x:v>19</x:v>
      </x:c>
      <x:c r="B1000">
        <x:v>206569617.54309499</x:v>
      </x:c>
      <x:c r="C1000" t="s">
        <x:v>23</x:v>
      </x:c>
      <x:c r="D1000" t="s">
        <x:v>11</x:v>
      </x:c>
      <x:c r="E1000" t="s">
        <x:v>232</x:v>
      </x:c>
      <x:c r="F1000" t="s">
        <x:v>13</x:v>
      </x:c>
      <x:c r="G1000" t="s">
        <x:v>27</x:v>
      </x:c>
      <x:c r="H1000" t="s">
        <x:v>34</x:v>
      </x:c>
      <x:c r="I1000" t="s">
        <x:v>40</x:v>
      </x:c>
    </x:row>
    <x:row r="1001">
      <x:c r="A1001" t="s">
        <x:v>20</x:v>
      </x:c>
      <x:c r="B1001" s="1">
        <x:v>3.31080499328932E+19</x:v>
      </x:c>
      <x:c r="C1001" t="s">
        <x:v>23</x:v>
      </x:c>
      <x:c r="D1001" t="s">
        <x:v>11</x:v>
      </x:c>
      <x:c r="E1001" t="s">
        <x:v>232</x:v>
      </x:c>
      <x:c r="F1001" t="s">
        <x:v>13</x:v>
      </x:c>
      <x:c r="G1001" t="s">
        <x:v>27</x:v>
      </x:c>
      <x:c r="H1001" t="s">
        <x:v>34</x:v>
      </x:c>
      <x:c r="I1001" t="s">
        <x:v>40</x:v>
      </x:c>
    </x:row>
    <x:row r="1002">
      <x:c r="A1002" t="s">
        <x:v>9</x:v>
      </x:c>
      <x:c r="B1002">
        <x:v>0.96016635164917796</x:v>
      </x:c>
      <x:c r="C1002" t="s">
        <x:v>10</x:v>
      </x:c>
      <x:c r="D1002" t="s">
        <x:v>11</x:v>
      </x:c>
      <x:c r="E1002" t="s">
        <x:v>233</x:v>
      </x:c>
      <x:c r="F1002" t="s">
        <x:v>13</x:v>
      </x:c>
      <x:c r="G1002" t="s">
        <x:v>14</x:v>
      </x:c>
      <x:c r="H1002" t="s">
        <x:v>34</x:v>
      </x:c>
      <x:c r="I1002" t="s">
        <x:v>16</x:v>
      </x:c>
    </x:row>
    <x:row r="1003">
      <x:c r="A1003" t="s">
        <x:v>17</x:v>
      </x:c>
      <x:c r="B1003">
        <x:v>3.0808640643954201E-2</x:v>
      </x:c>
      <x:c r="C1003" t="s">
        <x:v>10</x:v>
      </x:c>
      <x:c r="D1003" t="s">
        <x:v>11</x:v>
      </x:c>
      <x:c r="E1003" t="s">
        <x:v>233</x:v>
      </x:c>
      <x:c r="F1003" t="s">
        <x:v>13</x:v>
      </x:c>
      <x:c r="G1003" t="s">
        <x:v>14</x:v>
      </x:c>
      <x:c r="H1003" t="s">
        <x:v>34</x:v>
      </x:c>
      <x:c r="I1003" t="s">
        <x:v>16</x:v>
      </x:c>
    </x:row>
    <x:row r="1004">
      <x:c r="A1004" t="s">
        <x:v>18</x:v>
      </x:c>
      <x:c r="B1004">
        <x:v>8.6819753050804103E-3</x:v>
      </x:c>
      <x:c r="C1004" t="s">
        <x:v>10</x:v>
      </x:c>
      <x:c r="D1004" t="s">
        <x:v>11</x:v>
      </x:c>
      <x:c r="E1004" t="s">
        <x:v>233</x:v>
      </x:c>
      <x:c r="F1004" t="s">
        <x:v>13</x:v>
      </x:c>
      <x:c r="G1004" t="s">
        <x:v>14</x:v>
      </x:c>
      <x:c r="H1004" t="s">
        <x:v>34</x:v>
      </x:c>
      <x:c r="I1004" t="s">
        <x:v>16</x:v>
      </x:c>
    </x:row>
    <x:row r="1005">
      <x:c r="A1005" t="s">
        <x:v>19</x:v>
      </x:c>
      <x:c r="B1005">
        <x:v>9.31771179264545E-2</x:v>
      </x:c>
      <x:c r="C1005" t="s">
        <x:v>10</x:v>
      </x:c>
      <x:c r="D1005" t="s">
        <x:v>11</x:v>
      </x:c>
      <x:c r="E1005" t="s">
        <x:v>233</x:v>
      </x:c>
      <x:c r="F1005" t="s">
        <x:v>13</x:v>
      </x:c>
      <x:c r="G1005" t="s">
        <x:v>14</x:v>
      </x:c>
      <x:c r="H1005" t="s">
        <x:v>34</x:v>
      </x:c>
      <x:c r="I1005" t="s">
        <x:v>16</x:v>
      </x:c>
    </x:row>
    <x:row r="1006">
      <x:c r="A1006" t="s">
        <x:v>20</x:v>
      </x:c>
      <x:c r="B1006">
        <x:v>18470274072576</x:v>
      </x:c>
      <x:c r="C1006" t="s">
        <x:v>10</x:v>
      </x:c>
      <x:c r="D1006" t="s">
        <x:v>11</x:v>
      </x:c>
      <x:c r="E1006" t="s">
        <x:v>233</x:v>
      </x:c>
      <x:c r="F1006" t="s">
        <x:v>13</x:v>
      </x:c>
      <x:c r="G1006" t="s">
        <x:v>14</x:v>
      </x:c>
      <x:c r="H1006" t="s">
        <x:v>34</x:v>
      </x:c>
      <x:c r="I1006" t="s">
        <x:v>16</x:v>
      </x:c>
    </x:row>
    <x:row r="1007">
      <x:c r="A1007" t="s">
        <x:v>9</x:v>
      </x:c>
      <x:c r="B1007">
        <x:v>0.96016635164917796</x:v>
      </x:c>
      <x:c r="C1007" t="s">
        <x:v>10</x:v>
      </x:c>
      <x:c r="D1007" t="s">
        <x:v>21</x:v>
      </x:c>
      <x:c r="E1007" t="s">
        <x:v>234</x:v>
      </x:c>
      <x:c r="F1007" t="s">
        <x:v>13</x:v>
      </x:c>
      <x:c r="G1007" t="s">
        <x:v>14</x:v>
      </x:c>
      <x:c r="H1007" t="s">
        <x:v>34</x:v>
      </x:c>
      <x:c r="I1007" t="s">
        <x:v>16</x:v>
      </x:c>
    </x:row>
    <x:row r="1008">
      <x:c r="A1008" t="s">
        <x:v>17</x:v>
      </x:c>
      <x:c r="B1008">
        <x:v>3.0808640643954201E-2</x:v>
      </x:c>
      <x:c r="C1008" t="s">
        <x:v>10</x:v>
      </x:c>
      <x:c r="D1008" t="s">
        <x:v>21</x:v>
      </x:c>
      <x:c r="E1008" t="s">
        <x:v>234</x:v>
      </x:c>
      <x:c r="F1008" t="s">
        <x:v>13</x:v>
      </x:c>
      <x:c r="G1008" t="s">
        <x:v>14</x:v>
      </x:c>
      <x:c r="H1008" t="s">
        <x:v>34</x:v>
      </x:c>
      <x:c r="I1008" t="s">
        <x:v>16</x:v>
      </x:c>
    </x:row>
    <x:row r="1009">
      <x:c r="A1009" t="s">
        <x:v>18</x:v>
      </x:c>
      <x:c r="B1009">
        <x:v>8.6819753050804103E-3</x:v>
      </x:c>
      <x:c r="C1009" t="s">
        <x:v>10</x:v>
      </x:c>
      <x:c r="D1009" t="s">
        <x:v>21</x:v>
      </x:c>
      <x:c r="E1009" t="s">
        <x:v>234</x:v>
      </x:c>
      <x:c r="F1009" t="s">
        <x:v>13</x:v>
      </x:c>
      <x:c r="G1009" t="s">
        <x:v>14</x:v>
      </x:c>
      <x:c r="H1009" t="s">
        <x:v>34</x:v>
      </x:c>
      <x:c r="I1009" t="s">
        <x:v>16</x:v>
      </x:c>
    </x:row>
    <x:row r="1010">
      <x:c r="A1010" t="s">
        <x:v>19</x:v>
      </x:c>
      <x:c r="B1010">
        <x:v>9.31771179264545E-2</x:v>
      </x:c>
      <x:c r="C1010" t="s">
        <x:v>10</x:v>
      </x:c>
      <x:c r="D1010" t="s">
        <x:v>21</x:v>
      </x:c>
      <x:c r="E1010" t="s">
        <x:v>234</x:v>
      </x:c>
      <x:c r="F1010" t="s">
        <x:v>13</x:v>
      </x:c>
      <x:c r="G1010" t="s">
        <x:v>14</x:v>
      </x:c>
      <x:c r="H1010" t="s">
        <x:v>34</x:v>
      </x:c>
      <x:c r="I1010" t="s">
        <x:v>16</x:v>
      </x:c>
    </x:row>
    <x:row r="1011">
      <x:c r="A1011" t="s">
        <x:v>20</x:v>
      </x:c>
      <x:c r="B1011">
        <x:v>18470274072576</x:v>
      </x:c>
      <x:c r="C1011" t="s">
        <x:v>10</x:v>
      </x:c>
      <x:c r="D1011" t="s">
        <x:v>21</x:v>
      </x:c>
      <x:c r="E1011" t="s">
        <x:v>234</x:v>
      </x:c>
      <x:c r="F1011" t="s">
        <x:v>13</x:v>
      </x:c>
      <x:c r="G1011" t="s">
        <x:v>14</x:v>
      </x:c>
      <x:c r="H1011" t="s">
        <x:v>34</x:v>
      </x:c>
      <x:c r="I1011" t="s">
        <x:v>16</x:v>
      </x:c>
    </x:row>
    <x:row r="1012">
      <x:c r="A1012" t="s">
        <x:v>9</x:v>
      </x:c>
      <x:c r="B1012">
        <x:v>0.65886559856420701</x:v>
      </x:c>
      <x:c r="C1012" t="s">
        <x:v>23</x:v>
      </x:c>
      <x:c r="D1012" t="s">
        <x:v>21</x:v>
      </x:c>
      <x:c r="E1012" t="s">
        <x:v>235</x:v>
      </x:c>
      <x:c r="F1012" t="s">
        <x:v>13</x:v>
      </x:c>
      <x:c r="G1012" t="s">
        <x:v>14</x:v>
      </x:c>
      <x:c r="H1012" t="s">
        <x:v>34</x:v>
      </x:c>
      <x:c r="I1012" t="s">
        <x:v>16</x:v>
      </x:c>
    </x:row>
    <x:row r="1013">
      <x:c r="A1013" t="s">
        <x:v>17</x:v>
      </x:c>
      <x:c r="B1013">
        <x:v>0.42923039197921697</x:v>
      </x:c>
      <x:c r="C1013" t="s">
        <x:v>23</x:v>
      </x:c>
      <x:c r="D1013" t="s">
        <x:v>21</x:v>
      </x:c>
      <x:c r="E1013" t="s">
        <x:v>235</x:v>
      </x:c>
      <x:c r="F1013" t="s">
        <x:v>13</x:v>
      </x:c>
      <x:c r="G1013" t="s">
        <x:v>14</x:v>
      </x:c>
      <x:c r="H1013" t="s">
        <x:v>34</x:v>
      </x:c>
      <x:c r="I1013" t="s">
        <x:v>16</x:v>
      </x:c>
    </x:row>
    <x:row r="1014">
      <x:c r="A1014" t="s">
        <x:v>18</x:v>
      </x:c>
      <x:c r="B1014">
        <x:v>0.46659338474273598</x:v>
      </x:c>
      <x:c r="C1014" t="s">
        <x:v>23</x:v>
      </x:c>
      <x:c r="D1014" t="s">
        <x:v>21</x:v>
      </x:c>
      <x:c r="E1014" t="s">
        <x:v>235</x:v>
      </x:c>
      <x:c r="F1014" t="s">
        <x:v>13</x:v>
      </x:c>
      <x:c r="G1014" t="s">
        <x:v>14</x:v>
      </x:c>
      <x:c r="H1014" t="s">
        <x:v>34</x:v>
      </x:c>
      <x:c r="I1014" t="s">
        <x:v>16</x:v>
      </x:c>
    </x:row>
    <x:row r="1015">
      <x:c r="A1015" t="s">
        <x:v>19</x:v>
      </x:c>
      <x:c r="B1015">
        <x:v>0.68307641208194003</x:v>
      </x:c>
      <x:c r="C1015" t="s">
        <x:v>23</x:v>
      </x:c>
      <x:c r="D1015" t="s">
        <x:v>21</x:v>
      </x:c>
      <x:c r="E1015" t="s">
        <x:v>235</x:v>
      </x:c>
      <x:c r="F1015" t="s">
        <x:v>13</x:v>
      </x:c>
      <x:c r="G1015" t="s">
        <x:v>14</x:v>
      </x:c>
      <x:c r="H1015" t="s">
        <x:v>34</x:v>
      </x:c>
      <x:c r="I1015" t="s">
        <x:v>16</x:v>
      </x:c>
    </x:row>
    <x:row r="1016">
      <x:c r="A1016" t="s">
        <x:v>20</x:v>
      </x:c>
      <x:c r="B1016">
        <x:v>490213138759680</x:v>
      </x:c>
      <x:c r="C1016" t="s">
        <x:v>23</x:v>
      </x:c>
      <x:c r="D1016" t="s">
        <x:v>21</x:v>
      </x:c>
      <x:c r="E1016" t="s">
        <x:v>235</x:v>
      </x:c>
      <x:c r="F1016" t="s">
        <x:v>13</x:v>
      </x:c>
      <x:c r="G1016" t="s">
        <x:v>14</x:v>
      </x:c>
      <x:c r="H1016" t="s">
        <x:v>34</x:v>
      </x:c>
      <x:c r="I1016" t="s">
        <x:v>16</x:v>
      </x:c>
    </x:row>
    <x:row r="1017">
      <x:c r="A1017" t="s">
        <x:v>9</x:v>
      </x:c>
      <x:c r="B1017">
        <x:v>0.65886559856420701</x:v>
      </x:c>
      <x:c r="C1017" t="s">
        <x:v>23</x:v>
      </x:c>
      <x:c r="D1017" t="s">
        <x:v>11</x:v>
      </x:c>
      <x:c r="E1017" t="s">
        <x:v>236</x:v>
      </x:c>
      <x:c r="F1017" t="s">
        <x:v>13</x:v>
      </x:c>
      <x:c r="G1017" t="s">
        <x:v>14</x:v>
      </x:c>
      <x:c r="H1017" t="s">
        <x:v>34</x:v>
      </x:c>
      <x:c r="I1017" t="s">
        <x:v>16</x:v>
      </x:c>
    </x:row>
    <x:row r="1018">
      <x:c r="A1018" t="s">
        <x:v>17</x:v>
      </x:c>
      <x:c r="B1018">
        <x:v>0.42923039197921697</x:v>
      </x:c>
      <x:c r="C1018" t="s">
        <x:v>23</x:v>
      </x:c>
      <x:c r="D1018" t="s">
        <x:v>11</x:v>
      </x:c>
      <x:c r="E1018" t="s">
        <x:v>236</x:v>
      </x:c>
      <x:c r="F1018" t="s">
        <x:v>13</x:v>
      </x:c>
      <x:c r="G1018" t="s">
        <x:v>14</x:v>
      </x:c>
      <x:c r="H1018" t="s">
        <x:v>34</x:v>
      </x:c>
      <x:c r="I1018" t="s">
        <x:v>16</x:v>
      </x:c>
    </x:row>
    <x:row r="1019">
      <x:c r="A1019" t="s">
        <x:v>18</x:v>
      </x:c>
      <x:c r="B1019">
        <x:v>0.46659338474273598</x:v>
      </x:c>
      <x:c r="C1019" t="s">
        <x:v>23</x:v>
      </x:c>
      <x:c r="D1019" t="s">
        <x:v>11</x:v>
      </x:c>
      <x:c r="E1019" t="s">
        <x:v>236</x:v>
      </x:c>
      <x:c r="F1019" t="s">
        <x:v>13</x:v>
      </x:c>
      <x:c r="G1019" t="s">
        <x:v>14</x:v>
      </x:c>
      <x:c r="H1019" t="s">
        <x:v>34</x:v>
      </x:c>
      <x:c r="I1019" t="s">
        <x:v>16</x:v>
      </x:c>
    </x:row>
    <x:row r="1020">
      <x:c r="A1020" t="s">
        <x:v>19</x:v>
      </x:c>
      <x:c r="B1020">
        <x:v>0.68307641208194003</x:v>
      </x:c>
      <x:c r="C1020" t="s">
        <x:v>23</x:v>
      </x:c>
      <x:c r="D1020" t="s">
        <x:v>11</x:v>
      </x:c>
      <x:c r="E1020" t="s">
        <x:v>236</x:v>
      </x:c>
      <x:c r="F1020" t="s">
        <x:v>13</x:v>
      </x:c>
      <x:c r="G1020" t="s">
        <x:v>14</x:v>
      </x:c>
      <x:c r="H1020" t="s">
        <x:v>34</x:v>
      </x:c>
      <x:c r="I1020" t="s">
        <x:v>16</x:v>
      </x:c>
    </x:row>
    <x:row r="1021">
      <x:c r="A1021" t="s">
        <x:v>20</x:v>
      </x:c>
      <x:c r="B1021">
        <x:v>490213138759680</x:v>
      </x:c>
      <x:c r="C1021" t="s">
        <x:v>23</x:v>
      </x:c>
      <x:c r="D1021" t="s">
        <x:v>11</x:v>
      </x:c>
      <x:c r="E1021" t="s">
        <x:v>236</x:v>
      </x:c>
      <x:c r="F1021" t="s">
        <x:v>13</x:v>
      </x:c>
      <x:c r="G1021" t="s">
        <x:v>14</x:v>
      </x:c>
      <x:c r="H1021" t="s">
        <x:v>34</x:v>
      </x:c>
      <x:c r="I1021" t="s">
        <x:v>16</x:v>
      </x:c>
    </x:row>
    <x:row r="1022">
      <x:c r="A1022" t="s">
        <x:v>9</x:v>
      </x:c>
      <x:c r="B1022">
        <x:v>0.88483732950025795</x:v>
      </x:c>
      <x:c r="C1022" t="s">
        <x:v>10</x:v>
      </x:c>
      <x:c r="D1022" t="s">
        <x:v>11</x:v>
      </x:c>
      <x:c r="E1022" t="s">
        <x:v>237</x:v>
      </x:c>
      <x:c r="F1022" t="s">
        <x:v>13</x:v>
      </x:c>
      <x:c r="G1022" t="s">
        <x:v>14</x:v>
      </x:c>
      <x:c r="I1022" t="s">
        <x:v>35</x:v>
      </x:c>
    </x:row>
    <x:row r="1023">
      <x:c r="A1023" t="s">
        <x:v>17</x:v>
      </x:c>
      <x:c r="B1023">
        <x:v>0.36739641427993702</x:v>
      </x:c>
      <x:c r="C1023" t="s">
        <x:v>10</x:v>
      </x:c>
      <x:c r="D1023" t="s">
        <x:v>11</x:v>
      </x:c>
      <x:c r="E1023" t="s">
        <x:v>237</x:v>
      </x:c>
      <x:c r="F1023" t="s">
        <x:v>13</x:v>
      </x:c>
      <x:c r="G1023" t="s">
        <x:v>14</x:v>
      </x:c>
      <x:c r="I1023" t="s">
        <x:v>35</x:v>
      </x:c>
    </x:row>
    <x:row r="1024">
      <x:c r="A1024" t="s">
        <x:v>18</x:v>
      </x:c>
      <x:c r="B1024">
        <x:v>0.23204302787780701</x:v>
      </x:c>
      <x:c r="C1024" t="s">
        <x:v>10</x:v>
      </x:c>
      <x:c r="D1024" t="s">
        <x:v>11</x:v>
      </x:c>
      <x:c r="E1024" t="s">
        <x:v>237</x:v>
      </x:c>
      <x:c r="F1024" t="s">
        <x:v>13</x:v>
      </x:c>
      <x:c r="G1024" t="s">
        <x:v>14</x:v>
      </x:c>
      <x:c r="I1024" t="s">
        <x:v>35</x:v>
      </x:c>
    </x:row>
    <x:row r="1025">
      <x:c r="A1025" t="s">
        <x:v>19</x:v>
      </x:c>
      <x:c r="B1025">
        <x:v>0.481708446965389</x:v>
      </x:c>
      <x:c r="C1025" t="s">
        <x:v>10</x:v>
      </x:c>
      <x:c r="D1025" t="s">
        <x:v>11</x:v>
      </x:c>
      <x:c r="E1025" t="s">
        <x:v>237</x:v>
      </x:c>
      <x:c r="F1025" t="s">
        <x:v>13</x:v>
      </x:c>
      <x:c r="G1025" t="s">
        <x:v>14</x:v>
      </x:c>
      <x:c r="I1025" t="s">
        <x:v>35</x:v>
      </x:c>
    </x:row>
    <x:row r="1026">
      <x:c r="A1026" t="s">
        <x:v>20</x:v>
      </x:c>
      <x:c r="B1026">
        <x:v>8673252868096</x:v>
      </x:c>
      <x:c r="C1026" t="s">
        <x:v>10</x:v>
      </x:c>
      <x:c r="D1026" t="s">
        <x:v>11</x:v>
      </x:c>
      <x:c r="E1026" t="s">
        <x:v>237</x:v>
      </x:c>
      <x:c r="F1026" t="s">
        <x:v>13</x:v>
      </x:c>
      <x:c r="G1026" t="s">
        <x:v>14</x:v>
      </x:c>
      <x:c r="I1026" t="s">
        <x:v>35</x:v>
      </x:c>
    </x:row>
    <x:row r="1027">
      <x:c r="A1027" t="s">
        <x:v>9</x:v>
      </x:c>
      <x:c r="B1027">
        <x:v>0.88483732950025795</x:v>
      </x:c>
      <x:c r="C1027" t="s">
        <x:v>10</x:v>
      </x:c>
      <x:c r="D1027" t="s">
        <x:v>21</x:v>
      </x:c>
      <x:c r="E1027" t="s">
        <x:v>238</x:v>
      </x:c>
      <x:c r="F1027" t="s">
        <x:v>13</x:v>
      </x:c>
      <x:c r="G1027" t="s">
        <x:v>14</x:v>
      </x:c>
      <x:c r="I1027" t="s">
        <x:v>35</x:v>
      </x:c>
    </x:row>
    <x:row r="1028">
      <x:c r="A1028" t="s">
        <x:v>17</x:v>
      </x:c>
      <x:c r="B1028">
        <x:v>0.36739641427993702</x:v>
      </x:c>
      <x:c r="C1028" t="s">
        <x:v>10</x:v>
      </x:c>
      <x:c r="D1028" t="s">
        <x:v>21</x:v>
      </x:c>
      <x:c r="E1028" t="s">
        <x:v>238</x:v>
      </x:c>
      <x:c r="F1028" t="s">
        <x:v>13</x:v>
      </x:c>
      <x:c r="G1028" t="s">
        <x:v>14</x:v>
      </x:c>
      <x:c r="I1028" t="s">
        <x:v>35</x:v>
      </x:c>
    </x:row>
    <x:row r="1029">
      <x:c r="A1029" t="s">
        <x:v>18</x:v>
      </x:c>
      <x:c r="B1029">
        <x:v>0.23204302787780701</x:v>
      </x:c>
      <x:c r="C1029" t="s">
        <x:v>10</x:v>
      </x:c>
      <x:c r="D1029" t="s">
        <x:v>21</x:v>
      </x:c>
      <x:c r="E1029" t="s">
        <x:v>238</x:v>
      </x:c>
      <x:c r="F1029" t="s">
        <x:v>13</x:v>
      </x:c>
      <x:c r="G1029" t="s">
        <x:v>14</x:v>
      </x:c>
      <x:c r="I1029" t="s">
        <x:v>35</x:v>
      </x:c>
    </x:row>
    <x:row r="1030">
      <x:c r="A1030" t="s">
        <x:v>19</x:v>
      </x:c>
      <x:c r="B1030">
        <x:v>0.481708446965389</x:v>
      </x:c>
      <x:c r="C1030" t="s">
        <x:v>10</x:v>
      </x:c>
      <x:c r="D1030" t="s">
        <x:v>21</x:v>
      </x:c>
      <x:c r="E1030" t="s">
        <x:v>238</x:v>
      </x:c>
      <x:c r="F1030" t="s">
        <x:v>13</x:v>
      </x:c>
      <x:c r="G1030" t="s">
        <x:v>14</x:v>
      </x:c>
      <x:c r="I1030" t="s">
        <x:v>35</x:v>
      </x:c>
    </x:row>
    <x:row r="1031">
      <x:c r="A1031" t="s">
        <x:v>20</x:v>
      </x:c>
      <x:c r="B1031">
        <x:v>8673252868096</x:v>
      </x:c>
      <x:c r="C1031" t="s">
        <x:v>10</x:v>
      </x:c>
      <x:c r="D1031" t="s">
        <x:v>21</x:v>
      </x:c>
      <x:c r="E1031" t="s">
        <x:v>238</x:v>
      </x:c>
      <x:c r="F1031" t="s">
        <x:v>13</x:v>
      </x:c>
      <x:c r="G1031" t="s">
        <x:v>14</x:v>
      </x:c>
      <x:c r="I1031" t="s">
        <x:v>35</x:v>
      </x:c>
    </x:row>
    <x:row r="1032">
      <x:c r="A1032" t="s">
        <x:v>9</x:v>
      </x:c>
      <x:c r="B1032">
        <x:v>0.88430519967625398</x:v>
      </x:c>
      <x:c r="C1032" t="s">
        <x:v>23</x:v>
      </x:c>
      <x:c r="D1032" t="s">
        <x:v>21</x:v>
      </x:c>
      <x:c r="E1032" t="s">
        <x:v>239</x:v>
      </x:c>
      <x:c r="F1032" t="s">
        <x:v>13</x:v>
      </x:c>
      <x:c r="G1032" t="s">
        <x:v>14</x:v>
      </x:c>
      <x:c r="I1032" t="s">
        <x:v>35</x:v>
      </x:c>
    </x:row>
    <x:row r="1033">
      <x:c r="A1033" t="s">
        <x:v>17</x:v>
      </x:c>
      <x:c r="B1033">
        <x:v>0.40268889069557101</x:v>
      </x:c>
      <x:c r="C1033" t="s">
        <x:v>23</x:v>
      </x:c>
      <x:c r="D1033" t="s">
        <x:v>21</x:v>
      </x:c>
      <x:c r="E1033" t="s">
        <x:v>239</x:v>
      </x:c>
      <x:c r="F1033" t="s">
        <x:v>13</x:v>
      </x:c>
      <x:c r="G1033" t="s">
        <x:v>14</x:v>
      </x:c>
      <x:c r="I1033" t="s">
        <x:v>35</x:v>
      </x:c>
    </x:row>
    <x:row r="1034">
      <x:c r="A1034" t="s">
        <x:v>18</x:v>
      </x:c>
      <x:c r="B1034">
        <x:v>0.40579155087471003</x:v>
      </x:c>
      <x:c r="C1034" t="s">
        <x:v>23</x:v>
      </x:c>
      <x:c r="D1034" t="s">
        <x:v>21</x:v>
      </x:c>
      <x:c r="E1034" t="s">
        <x:v>239</x:v>
      </x:c>
      <x:c r="F1034" t="s">
        <x:v>13</x:v>
      </x:c>
      <x:c r="G1034" t="s">
        <x:v>14</x:v>
      </x:c>
      <x:c r="I1034" t="s">
        <x:v>35</x:v>
      </x:c>
    </x:row>
    <x:row r="1035">
      <x:c r="A1035" t="s">
        <x:v>19</x:v>
      </x:c>
      <x:c r="B1035">
        <x:v>0.63701770059764395</x:v>
      </x:c>
      <x:c r="C1035" t="s">
        <x:v>23</x:v>
      </x:c>
      <x:c r="D1035" t="s">
        <x:v>21</x:v>
      </x:c>
      <x:c r="E1035" t="s">
        <x:v>239</x:v>
      </x:c>
      <x:c r="F1035" t="s">
        <x:v>13</x:v>
      </x:c>
      <x:c r="G1035" t="s">
        <x:v>14</x:v>
      </x:c>
      <x:c r="I1035" t="s">
        <x:v>35</x:v>
      </x:c>
    </x:row>
    <x:row r="1036">
      <x:c r="A1036" t="s">
        <x:v>20</x:v>
      </x:c>
      <x:c r="B1036">
        <x:v>167442823249920</x:v>
      </x:c>
      <x:c r="C1036" t="s">
        <x:v>23</x:v>
      </x:c>
      <x:c r="D1036" t="s">
        <x:v>21</x:v>
      </x:c>
      <x:c r="E1036" t="s">
        <x:v>239</x:v>
      </x:c>
      <x:c r="F1036" t="s">
        <x:v>13</x:v>
      </x:c>
      <x:c r="G1036" t="s">
        <x:v>14</x:v>
      </x:c>
      <x:c r="I1036" t="s">
        <x:v>35</x:v>
      </x:c>
    </x:row>
    <x:row r="1037">
      <x:c r="A1037" t="s">
        <x:v>9</x:v>
      </x:c>
      <x:c r="B1037">
        <x:v>0.88430519967625398</x:v>
      </x:c>
      <x:c r="C1037" t="s">
        <x:v>23</x:v>
      </x:c>
      <x:c r="D1037" t="s">
        <x:v>11</x:v>
      </x:c>
      <x:c r="E1037" t="s">
        <x:v>240</x:v>
      </x:c>
      <x:c r="F1037" t="s">
        <x:v>13</x:v>
      </x:c>
      <x:c r="G1037" t="s">
        <x:v>14</x:v>
      </x:c>
      <x:c r="I1037" t="s">
        <x:v>35</x:v>
      </x:c>
    </x:row>
    <x:row r="1038">
      <x:c r="A1038" t="s">
        <x:v>17</x:v>
      </x:c>
      <x:c r="B1038">
        <x:v>0.40268889069557101</x:v>
      </x:c>
      <x:c r="C1038" t="s">
        <x:v>23</x:v>
      </x:c>
      <x:c r="D1038" t="s">
        <x:v>11</x:v>
      </x:c>
      <x:c r="E1038" t="s">
        <x:v>240</x:v>
      </x:c>
      <x:c r="F1038" t="s">
        <x:v>13</x:v>
      </x:c>
      <x:c r="G1038" t="s">
        <x:v>14</x:v>
      </x:c>
      <x:c r="I1038" t="s">
        <x:v>35</x:v>
      </x:c>
    </x:row>
    <x:row r="1039">
      <x:c r="A1039" t="s">
        <x:v>18</x:v>
      </x:c>
      <x:c r="B1039">
        <x:v>0.40579155087471003</x:v>
      </x:c>
      <x:c r="C1039" t="s">
        <x:v>23</x:v>
      </x:c>
      <x:c r="D1039" t="s">
        <x:v>11</x:v>
      </x:c>
      <x:c r="E1039" t="s">
        <x:v>240</x:v>
      </x:c>
      <x:c r="F1039" t="s">
        <x:v>13</x:v>
      </x:c>
      <x:c r="G1039" t="s">
        <x:v>14</x:v>
      </x:c>
      <x:c r="I1039" t="s">
        <x:v>35</x:v>
      </x:c>
    </x:row>
    <x:row r="1040">
      <x:c r="A1040" t="s">
        <x:v>19</x:v>
      </x:c>
      <x:c r="B1040">
        <x:v>0.63701770059764395</x:v>
      </x:c>
      <x:c r="C1040" t="s">
        <x:v>23</x:v>
      </x:c>
      <x:c r="D1040" t="s">
        <x:v>11</x:v>
      </x:c>
      <x:c r="E1040" t="s">
        <x:v>240</x:v>
      </x:c>
      <x:c r="F1040" t="s">
        <x:v>13</x:v>
      </x:c>
      <x:c r="G1040" t="s">
        <x:v>14</x:v>
      </x:c>
      <x:c r="I1040" t="s">
        <x:v>35</x:v>
      </x:c>
    </x:row>
    <x:row r="1041">
      <x:c r="A1041" t="s">
        <x:v>20</x:v>
      </x:c>
      <x:c r="B1041">
        <x:v>167442823249920</x:v>
      </x:c>
      <x:c r="C1041" t="s">
        <x:v>23</x:v>
      </x:c>
      <x:c r="D1041" t="s">
        <x:v>11</x:v>
      </x:c>
      <x:c r="E1041" t="s">
        <x:v>240</x:v>
      </x:c>
      <x:c r="F1041" t="s">
        <x:v>13</x:v>
      </x:c>
      <x:c r="G1041" t="s">
        <x:v>14</x:v>
      </x:c>
      <x:c r="I1041" t="s">
        <x:v>35</x:v>
      </x:c>
    </x:row>
    <x:row r="1042">
      <x:c r="A1042" t="s">
        <x:v>9</x:v>
      </x:c>
      <x:c r="B1042">
        <x:v>0.95004231207066203</x:v>
      </x:c>
      <x:c r="C1042" t="s">
        <x:v>10</x:v>
      </x:c>
      <x:c r="D1042" t="s">
        <x:v>11</x:v>
      </x:c>
      <x:c r="E1042" t="s">
        <x:v>241</x:v>
      </x:c>
      <x:c r="F1042" t="s">
        <x:v>33</x:v>
      </x:c>
      <x:c r="G1042" t="s">
        <x:v>14</x:v>
      </x:c>
      <x:c r="I1042" t="s">
        <x:v>40</x:v>
      </x:c>
    </x:row>
    <x:row r="1043">
      <x:c r="A1043" t="s">
        <x:v>17</x:v>
      </x:c>
      <x:c r="B1043">
        <x:v>9.9721208214759799E-2</x:v>
      </x:c>
      <x:c r="C1043" t="s">
        <x:v>10</x:v>
      </x:c>
      <x:c r="D1043" t="s">
        <x:v>11</x:v>
      </x:c>
      <x:c r="E1043" t="s">
        <x:v>241</x:v>
      </x:c>
      <x:c r="F1043" t="s">
        <x:v>33</x:v>
      </x:c>
      <x:c r="G1043" t="s">
        <x:v>14</x:v>
      </x:c>
      <x:c r="I1043" t="s">
        <x:v>40</x:v>
      </x:c>
    </x:row>
    <x:row r="1044">
      <x:c r="A1044" t="s">
        <x:v>18</x:v>
      </x:c>
      <x:c r="B1044">
        <x:v>2.4180974811315498E-2</x:v>
      </x:c>
      <x:c r="C1044" t="s">
        <x:v>10</x:v>
      </x:c>
      <x:c r="D1044" t="s">
        <x:v>11</x:v>
      </x:c>
      <x:c r="E1044" t="s">
        <x:v>241</x:v>
      </x:c>
      <x:c r="F1044" t="s">
        <x:v>33</x:v>
      </x:c>
      <x:c r="G1044" t="s">
        <x:v>14</x:v>
      </x:c>
      <x:c r="I1044" t="s">
        <x:v>40</x:v>
      </x:c>
    </x:row>
    <x:row r="1045">
      <x:c r="A1045" t="s">
        <x:v>19</x:v>
      </x:c>
      <x:c r="B1045">
        <x:v>0.155502330565543</x:v>
      </x:c>
      <x:c r="C1045" t="s">
        <x:v>10</x:v>
      </x:c>
      <x:c r="D1045" t="s">
        <x:v>11</x:v>
      </x:c>
      <x:c r="E1045" t="s">
        <x:v>241</x:v>
      </x:c>
      <x:c r="F1045" t="s">
        <x:v>33</x:v>
      </x:c>
      <x:c r="G1045" t="s">
        <x:v>14</x:v>
      </x:c>
      <x:c r="I1045" t="s">
        <x:v>40</x:v>
      </x:c>
    </x:row>
    <x:row r="1046">
      <x:c r="A1046" t="s">
        <x:v>20</x:v>
      </x:c>
      <x:c r="B1046">
        <x:v>77634159509504</x:v>
      </x:c>
      <x:c r="C1046" t="s">
        <x:v>10</x:v>
      </x:c>
      <x:c r="D1046" t="s">
        <x:v>11</x:v>
      </x:c>
      <x:c r="E1046" t="s">
        <x:v>241</x:v>
      </x:c>
      <x:c r="F1046" t="s">
        <x:v>33</x:v>
      </x:c>
      <x:c r="G1046" t="s">
        <x:v>14</x:v>
      </x:c>
      <x:c r="I1046" t="s">
        <x:v>40</x:v>
      </x:c>
    </x:row>
    <x:row r="1047">
      <x:c r="A1047" t="s">
        <x:v>9</x:v>
      </x:c>
      <x:c r="B1047">
        <x:v>0.95004231207066203</x:v>
      </x:c>
      <x:c r="C1047" t="s">
        <x:v>10</x:v>
      </x:c>
      <x:c r="D1047" t="s">
        <x:v>21</x:v>
      </x:c>
      <x:c r="E1047" t="s">
        <x:v>242</x:v>
      </x:c>
      <x:c r="F1047" t="s">
        <x:v>33</x:v>
      </x:c>
      <x:c r="G1047" t="s">
        <x:v>14</x:v>
      </x:c>
      <x:c r="I1047" t="s">
        <x:v>40</x:v>
      </x:c>
    </x:row>
    <x:row r="1048">
      <x:c r="A1048" t="s">
        <x:v>17</x:v>
      </x:c>
      <x:c r="B1048">
        <x:v>9.9721208214759799E-2</x:v>
      </x:c>
      <x:c r="C1048" t="s">
        <x:v>10</x:v>
      </x:c>
      <x:c r="D1048" t="s">
        <x:v>21</x:v>
      </x:c>
      <x:c r="E1048" t="s">
        <x:v>242</x:v>
      </x:c>
      <x:c r="F1048" t="s">
        <x:v>33</x:v>
      </x:c>
      <x:c r="G1048" t="s">
        <x:v>14</x:v>
      </x:c>
      <x:c r="I1048" t="s">
        <x:v>40</x:v>
      </x:c>
    </x:row>
    <x:row r="1049">
      <x:c r="A1049" t="s">
        <x:v>18</x:v>
      </x:c>
      <x:c r="B1049">
        <x:v>2.4180974811315498E-2</x:v>
      </x:c>
      <x:c r="C1049" t="s">
        <x:v>10</x:v>
      </x:c>
      <x:c r="D1049" t="s">
        <x:v>21</x:v>
      </x:c>
      <x:c r="E1049" t="s">
        <x:v>242</x:v>
      </x:c>
      <x:c r="F1049" t="s">
        <x:v>33</x:v>
      </x:c>
      <x:c r="G1049" t="s">
        <x:v>14</x:v>
      </x:c>
      <x:c r="I1049" t="s">
        <x:v>40</x:v>
      </x:c>
    </x:row>
    <x:row r="1050">
      <x:c r="A1050" t="s">
        <x:v>19</x:v>
      </x:c>
      <x:c r="B1050">
        <x:v>0.155502330565543</x:v>
      </x:c>
      <x:c r="C1050" t="s">
        <x:v>10</x:v>
      </x:c>
      <x:c r="D1050" t="s">
        <x:v>21</x:v>
      </x:c>
      <x:c r="E1050" t="s">
        <x:v>242</x:v>
      </x:c>
      <x:c r="F1050" t="s">
        <x:v>33</x:v>
      </x:c>
      <x:c r="G1050" t="s">
        <x:v>14</x:v>
      </x:c>
      <x:c r="I1050" t="s">
        <x:v>40</x:v>
      </x:c>
    </x:row>
    <x:row r="1051">
      <x:c r="A1051" t="s">
        <x:v>20</x:v>
      </x:c>
      <x:c r="B1051">
        <x:v>77634159509504</x:v>
      </x:c>
      <x:c r="C1051" t="s">
        <x:v>10</x:v>
      </x:c>
      <x:c r="D1051" t="s">
        <x:v>21</x:v>
      </x:c>
      <x:c r="E1051" t="s">
        <x:v>242</x:v>
      </x:c>
      <x:c r="F1051" t="s">
        <x:v>33</x:v>
      </x:c>
      <x:c r="G1051" t="s">
        <x:v>14</x:v>
      </x:c>
      <x:c r="I1051" t="s">
        <x:v>40</x:v>
      </x:c>
    </x:row>
    <x:row r="1052">
      <x:c r="A1052" t="s">
        <x:v>9</x:v>
      </x:c>
      <x:c r="B1052">
        <x:v>0.86394067965099397</x:v>
      </x:c>
      <x:c r="C1052" t="s">
        <x:v>23</x:v>
      </x:c>
      <x:c r="D1052" t="s">
        <x:v>21</x:v>
      </x:c>
      <x:c r="E1052" t="s">
        <x:v>243</x:v>
      </x:c>
      <x:c r="F1052" t="s">
        <x:v>33</x:v>
      </x:c>
      <x:c r="G1052" t="s">
        <x:v>14</x:v>
      </x:c>
      <x:c r="I1052" t="s">
        <x:v>40</x:v>
      </x:c>
    </x:row>
    <x:row r="1053">
      <x:c r="A1053" t="s">
        <x:v>17</x:v>
      </x:c>
      <x:c r="B1053">
        <x:v>0.24872817099094299</x:v>
      </x:c>
      <x:c r="C1053" t="s">
        <x:v>23</x:v>
      </x:c>
      <x:c r="D1053" t="s">
        <x:v>21</x:v>
      </x:c>
      <x:c r="E1053" t="s">
        <x:v>243</x:v>
      </x:c>
      <x:c r="F1053" t="s">
        <x:v>33</x:v>
      </x:c>
      <x:c r="G1053" t="s">
        <x:v>14</x:v>
      </x:c>
      <x:c r="I1053" t="s">
        <x:v>40</x:v>
      </x:c>
    </x:row>
    <x:row r="1054">
      <x:c r="A1054" t="s">
        <x:v>18</x:v>
      </x:c>
      <x:c r="B1054">
        <x:v>0.24363799393176999</x:v>
      </x:c>
      <x:c r="C1054" t="s">
        <x:v>23</x:v>
      </x:c>
      <x:c r="D1054" t="s">
        <x:v>21</x:v>
      </x:c>
      <x:c r="E1054" t="s">
        <x:v>243</x:v>
      </x:c>
      <x:c r="F1054" t="s">
        <x:v>33</x:v>
      </x:c>
      <x:c r="G1054" t="s">
        <x:v>14</x:v>
      </x:c>
      <x:c r="I1054" t="s">
        <x:v>40</x:v>
      </x:c>
    </x:row>
    <x:row r="1055">
      <x:c r="A1055" t="s">
        <x:v>19</x:v>
      </x:c>
      <x:c r="B1055">
        <x:v>0.49359699546469099</x:v>
      </x:c>
      <x:c r="C1055" t="s">
        <x:v>23</x:v>
      </x:c>
      <x:c r="D1055" t="s">
        <x:v>21</x:v>
      </x:c>
      <x:c r="E1055" t="s">
        <x:v>243</x:v>
      </x:c>
      <x:c r="F1055" t="s">
        <x:v>33</x:v>
      </x:c>
      <x:c r="G1055" t="s">
        <x:v>14</x:v>
      </x:c>
      <x:c r="I1055" t="s">
        <x:v>40</x:v>
      </x:c>
    </x:row>
    <x:row r="1056">
      <x:c r="A1056" t="s">
        <x:v>20</x:v>
      </x:c>
      <x:c r="B1056">
        <x:v>156988654747648</x:v>
      </x:c>
      <x:c r="C1056" t="s">
        <x:v>23</x:v>
      </x:c>
      <x:c r="D1056" t="s">
        <x:v>21</x:v>
      </x:c>
      <x:c r="E1056" t="s">
        <x:v>243</x:v>
      </x:c>
      <x:c r="F1056" t="s">
        <x:v>33</x:v>
      </x:c>
      <x:c r="G1056" t="s">
        <x:v>14</x:v>
      </x:c>
      <x:c r="I1056" t="s">
        <x:v>40</x:v>
      </x:c>
    </x:row>
    <x:row r="1057">
      <x:c r="A1057" t="s">
        <x:v>9</x:v>
      </x:c>
      <x:c r="B1057">
        <x:v>0.86394067965099397</x:v>
      </x:c>
      <x:c r="C1057" t="s">
        <x:v>23</x:v>
      </x:c>
      <x:c r="D1057" t="s">
        <x:v>11</x:v>
      </x:c>
      <x:c r="E1057" t="s">
        <x:v>244</x:v>
      </x:c>
      <x:c r="F1057" t="s">
        <x:v>33</x:v>
      </x:c>
      <x:c r="G1057" t="s">
        <x:v>14</x:v>
      </x:c>
      <x:c r="I1057" t="s">
        <x:v>40</x:v>
      </x:c>
    </x:row>
    <x:row r="1058">
      <x:c r="A1058" t="s">
        <x:v>17</x:v>
      </x:c>
      <x:c r="B1058">
        <x:v>0.24872817099094299</x:v>
      </x:c>
      <x:c r="C1058" t="s">
        <x:v>23</x:v>
      </x:c>
      <x:c r="D1058" t="s">
        <x:v>11</x:v>
      </x:c>
      <x:c r="E1058" t="s">
        <x:v>244</x:v>
      </x:c>
      <x:c r="F1058" t="s">
        <x:v>33</x:v>
      </x:c>
      <x:c r="G1058" t="s">
        <x:v>14</x:v>
      </x:c>
      <x:c r="I1058" t="s">
        <x:v>40</x:v>
      </x:c>
    </x:row>
    <x:row r="1059">
      <x:c r="A1059" t="s">
        <x:v>18</x:v>
      </x:c>
      <x:c r="B1059">
        <x:v>0.24363799393176999</x:v>
      </x:c>
      <x:c r="C1059" t="s">
        <x:v>23</x:v>
      </x:c>
      <x:c r="D1059" t="s">
        <x:v>11</x:v>
      </x:c>
      <x:c r="E1059" t="s">
        <x:v>244</x:v>
      </x:c>
      <x:c r="F1059" t="s">
        <x:v>33</x:v>
      </x:c>
      <x:c r="G1059" t="s">
        <x:v>14</x:v>
      </x:c>
      <x:c r="I1059" t="s">
        <x:v>40</x:v>
      </x:c>
    </x:row>
    <x:row r="1060">
      <x:c r="A1060" t="s">
        <x:v>19</x:v>
      </x:c>
      <x:c r="B1060">
        <x:v>0.49359699546469099</x:v>
      </x:c>
      <x:c r="C1060" t="s">
        <x:v>23</x:v>
      </x:c>
      <x:c r="D1060" t="s">
        <x:v>11</x:v>
      </x:c>
      <x:c r="E1060" t="s">
        <x:v>244</x:v>
      </x:c>
      <x:c r="F1060" t="s">
        <x:v>33</x:v>
      </x:c>
      <x:c r="G1060" t="s">
        <x:v>14</x:v>
      </x:c>
      <x:c r="I1060" t="s">
        <x:v>40</x:v>
      </x:c>
    </x:row>
    <x:row r="1061">
      <x:c r="A1061" t="s">
        <x:v>20</x:v>
      </x:c>
      <x:c r="B1061">
        <x:v>156988654747648</x:v>
      </x:c>
      <x:c r="C1061" t="s">
        <x:v>23</x:v>
      </x:c>
      <x:c r="D1061" t="s">
        <x:v>11</x:v>
      </x:c>
      <x:c r="E1061" t="s">
        <x:v>244</x:v>
      </x:c>
      <x:c r="F1061" t="s">
        <x:v>33</x:v>
      </x:c>
      <x:c r="G1061" t="s">
        <x:v>14</x:v>
      </x:c>
      <x:c r="I1061" t="s">
        <x:v>40</x:v>
      </x:c>
    </x:row>
    <x:row r="1062">
      <x:c r="A1062" t="s">
        <x:v>9</x:v>
      </x:c>
      <x:c r="B1062">
        <x:v>0.94146477373882098</x:v>
      </x:c>
      <x:c r="C1062" t="s">
        <x:v>10</x:v>
      </x:c>
      <x:c r="D1062" t="s">
        <x:v>11</x:v>
      </x:c>
      <x:c r="E1062" t="s">
        <x:v>245</x:v>
      </x:c>
      <x:c r="F1062" t="s">
        <x:v>13</x:v>
      </x:c>
      <x:c r="G1062" t="s">
        <x:v>14</x:v>
      </x:c>
      <x:c r="H1062" t="s">
        <x:v>34</x:v>
      </x:c>
      <x:c r="I1062" t="s">
        <x:v>87</x:v>
      </x:c>
    </x:row>
    <x:row r="1063">
      <x:c r="A1063" t="s">
        <x:v>17</x:v>
      </x:c>
      <x:c r="B1063">
        <x:v>0.14792807400226499</x:v>
      </x:c>
      <x:c r="C1063" t="s">
        <x:v>10</x:v>
      </x:c>
      <x:c r="D1063" t="s">
        <x:v>11</x:v>
      </x:c>
      <x:c r="E1063" t="s">
        <x:v>245</x:v>
      </x:c>
      <x:c r="F1063" t="s">
        <x:v>13</x:v>
      </x:c>
      <x:c r="G1063" t="s">
        <x:v>14</x:v>
      </x:c>
      <x:c r="H1063" t="s">
        <x:v>34</x:v>
      </x:c>
      <x:c r="I1063" t="s">
        <x:v>87</x:v>
      </x:c>
    </x:row>
    <x:row r="1064">
      <x:c r="A1064" t="s">
        <x:v>18</x:v>
      </x:c>
      <x:c r="B1064">
        <x:v>5.1735550165176301E-2</x:v>
      </x:c>
      <x:c r="C1064" t="s">
        <x:v>10</x:v>
      </x:c>
      <x:c r="D1064" t="s">
        <x:v>11</x:v>
      </x:c>
      <x:c r="E1064" t="s">
        <x:v>245</x:v>
      </x:c>
      <x:c r="F1064" t="s">
        <x:v>13</x:v>
      </x:c>
      <x:c r="G1064" t="s">
        <x:v>14</x:v>
      </x:c>
      <x:c r="H1064" t="s">
        <x:v>34</x:v>
      </x:c>
      <x:c r="I1064" t="s">
        <x:v>87</x:v>
      </x:c>
    </x:row>
    <x:row r="1065">
      <x:c r="A1065" t="s">
        <x:v>19</x:v>
      </x:c>
      <x:c r="B1065">
        <x:v>0.22745450130779199</x:v>
      </x:c>
      <x:c r="C1065" t="s">
        <x:v>10</x:v>
      </x:c>
      <x:c r="D1065" t="s">
        <x:v>11</x:v>
      </x:c>
      <x:c r="E1065" t="s">
        <x:v>245</x:v>
      </x:c>
      <x:c r="F1065" t="s">
        <x:v>13</x:v>
      </x:c>
      <x:c r="G1065" t="s">
        <x:v>14</x:v>
      </x:c>
      <x:c r="H1065" t="s">
        <x:v>34</x:v>
      </x:c>
      <x:c r="I1065" t="s">
        <x:v>87</x:v>
      </x:c>
    </x:row>
    <x:row r="1066">
      <x:c r="A1066" t="s">
        <x:v>20</x:v>
      </x:c>
      <x:c r="B1066">
        <x:v>56463795945472</x:v>
      </x:c>
      <x:c r="C1066" t="s">
        <x:v>10</x:v>
      </x:c>
      <x:c r="D1066" t="s">
        <x:v>11</x:v>
      </x:c>
      <x:c r="E1066" t="s">
        <x:v>245</x:v>
      </x:c>
      <x:c r="F1066" t="s">
        <x:v>13</x:v>
      </x:c>
      <x:c r="G1066" t="s">
        <x:v>14</x:v>
      </x:c>
      <x:c r="H1066" t="s">
        <x:v>34</x:v>
      </x:c>
      <x:c r="I1066" t="s">
        <x:v>87</x:v>
      </x:c>
    </x:row>
    <x:row r="1067">
      <x:c r="A1067" t="s">
        <x:v>9</x:v>
      </x:c>
      <x:c r="B1067">
        <x:v>0.94146477373882098</x:v>
      </x:c>
      <x:c r="C1067" t="s">
        <x:v>10</x:v>
      </x:c>
      <x:c r="D1067" t="s">
        <x:v>21</x:v>
      </x:c>
      <x:c r="E1067" t="s">
        <x:v>246</x:v>
      </x:c>
      <x:c r="F1067" t="s">
        <x:v>13</x:v>
      </x:c>
      <x:c r="G1067" t="s">
        <x:v>14</x:v>
      </x:c>
      <x:c r="H1067" t="s">
        <x:v>34</x:v>
      </x:c>
      <x:c r="I1067" t="s">
        <x:v>87</x:v>
      </x:c>
    </x:row>
    <x:row r="1068">
      <x:c r="A1068" t="s">
        <x:v>17</x:v>
      </x:c>
      <x:c r="B1068">
        <x:v>0.14792807400226499</x:v>
      </x:c>
      <x:c r="C1068" t="s">
        <x:v>10</x:v>
      </x:c>
      <x:c r="D1068" t="s">
        <x:v>21</x:v>
      </x:c>
      <x:c r="E1068" t="s">
        <x:v>246</x:v>
      </x:c>
      <x:c r="F1068" t="s">
        <x:v>13</x:v>
      </x:c>
      <x:c r="G1068" t="s">
        <x:v>14</x:v>
      </x:c>
      <x:c r="H1068" t="s">
        <x:v>34</x:v>
      </x:c>
      <x:c r="I1068" t="s">
        <x:v>87</x:v>
      </x:c>
    </x:row>
    <x:row r="1069">
      <x:c r="A1069" t="s">
        <x:v>18</x:v>
      </x:c>
      <x:c r="B1069">
        <x:v>5.1735550165176301E-2</x:v>
      </x:c>
      <x:c r="C1069" t="s">
        <x:v>10</x:v>
      </x:c>
      <x:c r="D1069" t="s">
        <x:v>21</x:v>
      </x:c>
      <x:c r="E1069" t="s">
        <x:v>246</x:v>
      </x:c>
      <x:c r="F1069" t="s">
        <x:v>13</x:v>
      </x:c>
      <x:c r="G1069" t="s">
        <x:v>14</x:v>
      </x:c>
      <x:c r="H1069" t="s">
        <x:v>34</x:v>
      </x:c>
      <x:c r="I1069" t="s">
        <x:v>87</x:v>
      </x:c>
    </x:row>
    <x:row r="1070">
      <x:c r="A1070" t="s">
        <x:v>19</x:v>
      </x:c>
      <x:c r="B1070">
        <x:v>0.22745450130779199</x:v>
      </x:c>
      <x:c r="C1070" t="s">
        <x:v>10</x:v>
      </x:c>
      <x:c r="D1070" t="s">
        <x:v>21</x:v>
      </x:c>
      <x:c r="E1070" t="s">
        <x:v>246</x:v>
      </x:c>
      <x:c r="F1070" t="s">
        <x:v>13</x:v>
      </x:c>
      <x:c r="G1070" t="s">
        <x:v>14</x:v>
      </x:c>
      <x:c r="H1070" t="s">
        <x:v>34</x:v>
      </x:c>
      <x:c r="I1070" t="s">
        <x:v>87</x:v>
      </x:c>
    </x:row>
    <x:row r="1071">
      <x:c r="A1071" t="s">
        <x:v>20</x:v>
      </x:c>
      <x:c r="B1071">
        <x:v>56463795945472</x:v>
      </x:c>
      <x:c r="C1071" t="s">
        <x:v>10</x:v>
      </x:c>
      <x:c r="D1071" t="s">
        <x:v>21</x:v>
      </x:c>
      <x:c r="E1071" t="s">
        <x:v>246</x:v>
      </x:c>
      <x:c r="F1071" t="s">
        <x:v>13</x:v>
      </x:c>
      <x:c r="G1071" t="s">
        <x:v>14</x:v>
      </x:c>
      <x:c r="H1071" t="s">
        <x:v>34</x:v>
      </x:c>
      <x:c r="I1071" t="s">
        <x:v>87</x:v>
      </x:c>
    </x:row>
    <x:row r="1072">
      <x:c r="A1072" t="s">
        <x:v>9</x:v>
      </x:c>
      <x:c r="B1072">
        <x:v>0.89533756496124695</x:v>
      </x:c>
      <x:c r="C1072" t="s">
        <x:v>23</x:v>
      </x:c>
      <x:c r="D1072" t="s">
        <x:v>21</x:v>
      </x:c>
      <x:c r="E1072" t="s">
        <x:v>247</x:v>
      </x:c>
      <x:c r="F1072" t="s">
        <x:v>13</x:v>
      </x:c>
      <x:c r="G1072" t="s">
        <x:v>14</x:v>
      </x:c>
      <x:c r="H1072" t="s">
        <x:v>34</x:v>
      </x:c>
      <x:c r="I1072" t="s">
        <x:v>87</x:v>
      </x:c>
    </x:row>
    <x:row r="1073">
      <x:c r="A1073" t="s">
        <x:v>17</x:v>
      </x:c>
      <x:c r="B1073">
        <x:v>0.26415276527404702</x:v>
      </x:c>
      <x:c r="C1073" t="s">
        <x:v>23</x:v>
      </x:c>
      <x:c r="D1073" t="s">
        <x:v>21</x:v>
      </x:c>
      <x:c r="E1073" t="s">
        <x:v>247</x:v>
      </x:c>
      <x:c r="F1073" t="s">
        <x:v>13</x:v>
      </x:c>
      <x:c r="G1073" t="s">
        <x:v>14</x:v>
      </x:c>
      <x:c r="H1073" t="s">
        <x:v>34</x:v>
      </x:c>
      <x:c r="I1073" t="s">
        <x:v>87</x:v>
      </x:c>
    </x:row>
    <x:row r="1074">
      <x:c r="A1074" t="s">
        <x:v>18</x:v>
      </x:c>
      <x:c r="B1074">
        <x:v>0.17295174300670599</x:v>
      </x:c>
      <x:c r="C1074" t="s">
        <x:v>23</x:v>
      </x:c>
      <x:c r="D1074" t="s">
        <x:v>21</x:v>
      </x:c>
      <x:c r="E1074" t="s">
        <x:v>247</x:v>
      </x:c>
      <x:c r="F1074" t="s">
        <x:v>13</x:v>
      </x:c>
      <x:c r="G1074" t="s">
        <x:v>14</x:v>
      </x:c>
      <x:c r="H1074" t="s">
        <x:v>34</x:v>
      </x:c>
      <x:c r="I1074" t="s">
        <x:v>87</x:v>
      </x:c>
    </x:row>
    <x:row r="1075">
      <x:c r="A1075" t="s">
        <x:v>19</x:v>
      </x:c>
      <x:c r="B1075">
        <x:v>0.415874672235165</x:v>
      </x:c>
      <x:c r="C1075" t="s">
        <x:v>23</x:v>
      </x:c>
      <x:c r="D1075" t="s">
        <x:v>21</x:v>
      </x:c>
      <x:c r="E1075" t="s">
        <x:v>247</x:v>
      </x:c>
      <x:c r="F1075" t="s">
        <x:v>13</x:v>
      </x:c>
      <x:c r="G1075" t="s">
        <x:v>14</x:v>
      </x:c>
      <x:c r="H1075" t="s">
        <x:v>34</x:v>
      </x:c>
      <x:c r="I1075" t="s">
        <x:v>87</x:v>
      </x:c>
    </x:row>
    <x:row r="1076">
      <x:c r="A1076" t="s">
        <x:v>20</x:v>
      </x:c>
      <x:c r="B1076">
        <x:v>207917672300544</x:v>
      </x:c>
      <x:c r="C1076" t="s">
        <x:v>23</x:v>
      </x:c>
      <x:c r="D1076" t="s">
        <x:v>21</x:v>
      </x:c>
      <x:c r="E1076" t="s">
        <x:v>247</x:v>
      </x:c>
      <x:c r="F1076" t="s">
        <x:v>13</x:v>
      </x:c>
      <x:c r="G1076" t="s">
        <x:v>14</x:v>
      </x:c>
      <x:c r="H1076" t="s">
        <x:v>34</x:v>
      </x:c>
      <x:c r="I1076" t="s">
        <x:v>87</x:v>
      </x:c>
    </x:row>
    <x:row r="1077">
      <x:c r="A1077" t="s">
        <x:v>9</x:v>
      </x:c>
      <x:c r="B1077">
        <x:v>0.89533756496124695</x:v>
      </x:c>
      <x:c r="C1077" t="s">
        <x:v>23</x:v>
      </x:c>
      <x:c r="D1077" t="s">
        <x:v>11</x:v>
      </x:c>
      <x:c r="E1077" t="s">
        <x:v>248</x:v>
      </x:c>
      <x:c r="F1077" t="s">
        <x:v>13</x:v>
      </x:c>
      <x:c r="G1077" t="s">
        <x:v>14</x:v>
      </x:c>
      <x:c r="H1077" t="s">
        <x:v>34</x:v>
      </x:c>
      <x:c r="I1077" t="s">
        <x:v>87</x:v>
      </x:c>
    </x:row>
    <x:row r="1078">
      <x:c r="A1078" t="s">
        <x:v>17</x:v>
      </x:c>
      <x:c r="B1078">
        <x:v>0.26415276527404702</x:v>
      </x:c>
      <x:c r="C1078" t="s">
        <x:v>23</x:v>
      </x:c>
      <x:c r="D1078" t="s">
        <x:v>11</x:v>
      </x:c>
      <x:c r="E1078" t="s">
        <x:v>248</x:v>
      </x:c>
      <x:c r="F1078" t="s">
        <x:v>13</x:v>
      </x:c>
      <x:c r="G1078" t="s">
        <x:v>14</x:v>
      </x:c>
      <x:c r="H1078" t="s">
        <x:v>34</x:v>
      </x:c>
      <x:c r="I1078" t="s">
        <x:v>87</x:v>
      </x:c>
    </x:row>
    <x:row r="1079">
      <x:c r="A1079" t="s">
        <x:v>18</x:v>
      </x:c>
      <x:c r="B1079">
        <x:v>0.17295174300670599</x:v>
      </x:c>
      <x:c r="C1079" t="s">
        <x:v>23</x:v>
      </x:c>
      <x:c r="D1079" t="s">
        <x:v>11</x:v>
      </x:c>
      <x:c r="E1079" t="s">
        <x:v>248</x:v>
      </x:c>
      <x:c r="F1079" t="s">
        <x:v>13</x:v>
      </x:c>
      <x:c r="G1079" t="s">
        <x:v>14</x:v>
      </x:c>
      <x:c r="H1079" t="s">
        <x:v>34</x:v>
      </x:c>
      <x:c r="I1079" t="s">
        <x:v>87</x:v>
      </x:c>
    </x:row>
    <x:row r="1080">
      <x:c r="A1080" t="s">
        <x:v>19</x:v>
      </x:c>
      <x:c r="B1080">
        <x:v>0.415874672235165</x:v>
      </x:c>
      <x:c r="C1080" t="s">
        <x:v>23</x:v>
      </x:c>
      <x:c r="D1080" t="s">
        <x:v>11</x:v>
      </x:c>
      <x:c r="E1080" t="s">
        <x:v>248</x:v>
      </x:c>
      <x:c r="F1080" t="s">
        <x:v>13</x:v>
      </x:c>
      <x:c r="G1080" t="s">
        <x:v>14</x:v>
      </x:c>
      <x:c r="H1080" t="s">
        <x:v>34</x:v>
      </x:c>
      <x:c r="I1080" t="s">
        <x:v>87</x:v>
      </x:c>
    </x:row>
    <x:row r="1081">
      <x:c r="A1081" t="s">
        <x:v>20</x:v>
      </x:c>
      <x:c r="B1081">
        <x:v>207917672300544</x:v>
      </x:c>
      <x:c r="C1081" t="s">
        <x:v>23</x:v>
      </x:c>
      <x:c r="D1081" t="s">
        <x:v>11</x:v>
      </x:c>
      <x:c r="E1081" t="s">
        <x:v>248</x:v>
      </x:c>
      <x:c r="F1081" t="s">
        <x:v>13</x:v>
      </x:c>
      <x:c r="G1081" t="s">
        <x:v>14</x:v>
      </x:c>
      <x:c r="H1081" t="s">
        <x:v>34</x:v>
      </x:c>
      <x:c r="I1081" t="s">
        <x:v>87</x:v>
      </x:c>
    </x:row>
    <x:row r="1082">
      <x:c r="A1082" t="s">
        <x:v>9</x:v>
      </x:c>
      <x:c r="B1082">
        <x:v>0.92939350301536705</x:v>
      </x:c>
      <x:c r="C1082" t="s">
        <x:v>10</x:v>
      </x:c>
      <x:c r="D1082" t="s">
        <x:v>11</x:v>
      </x:c>
      <x:c r="E1082" t="s">
        <x:v>249</x:v>
      </x:c>
      <x:c r="F1082" t="s">
        <x:v>13</x:v>
      </x:c>
      <x:c r="G1082" t="s">
        <x:v>14</x:v>
      </x:c>
      <x:c r="I1082" t="s">
        <x:v>250</x:v>
      </x:c>
    </x:row>
    <x:row r="1083">
      <x:c r="A1083" t="s">
        <x:v>17</x:v>
      </x:c>
      <x:c r="B1083">
        <x:v>0.12940058112144401</x:v>
      </x:c>
      <x:c r="C1083" t="s">
        <x:v>10</x:v>
      </x:c>
      <x:c r="D1083" t="s">
        <x:v>11</x:v>
      </x:c>
      <x:c r="E1083" t="s">
        <x:v>249</x:v>
      </x:c>
      <x:c r="F1083" t="s">
        <x:v>13</x:v>
      </x:c>
      <x:c r="G1083" t="s">
        <x:v>14</x:v>
      </x:c>
      <x:c r="I1083" t="s">
        <x:v>250</x:v>
      </x:c>
    </x:row>
    <x:row r="1084">
      <x:c r="A1084" t="s">
        <x:v>18</x:v>
      </x:c>
      <x:c r="B1084">
        <x:v>4.2580768465995698E-2</x:v>
      </x:c>
      <x:c r="C1084" t="s">
        <x:v>10</x:v>
      </x:c>
      <x:c r="D1084" t="s">
        <x:v>11</x:v>
      </x:c>
      <x:c r="E1084" t="s">
        <x:v>249</x:v>
      </x:c>
      <x:c r="F1084" t="s">
        <x:v>13</x:v>
      </x:c>
      <x:c r="G1084" t="s">
        <x:v>14</x:v>
      </x:c>
      <x:c r="I1084" t="s">
        <x:v>250</x:v>
      </x:c>
    </x:row>
    <x:row r="1085">
      <x:c r="A1085" t="s">
        <x:v>19</x:v>
      </x:c>
      <x:c r="B1085">
        <x:v>0.20635108060292701</x:v>
      </x:c>
      <x:c r="C1085" t="s">
        <x:v>10</x:v>
      </x:c>
      <x:c r="D1085" t="s">
        <x:v>11</x:v>
      </x:c>
      <x:c r="E1085" t="s">
        <x:v>249</x:v>
      </x:c>
      <x:c r="F1085" t="s">
        <x:v>13</x:v>
      </x:c>
      <x:c r="G1085" t="s">
        <x:v>14</x:v>
      </x:c>
      <x:c r="I1085" t="s">
        <x:v>250</x:v>
      </x:c>
    </x:row>
    <x:row r="1086">
      <x:c r="A1086" t="s">
        <x:v>20</x:v>
      </x:c>
      <x:c r="B1086">
        <x:v>59788826247168</x:v>
      </x:c>
      <x:c r="C1086" t="s">
        <x:v>10</x:v>
      </x:c>
      <x:c r="D1086" t="s">
        <x:v>11</x:v>
      </x:c>
      <x:c r="E1086" t="s">
        <x:v>249</x:v>
      </x:c>
      <x:c r="F1086" t="s">
        <x:v>13</x:v>
      </x:c>
      <x:c r="G1086" t="s">
        <x:v>14</x:v>
      </x:c>
      <x:c r="I1086" t="s">
        <x:v>250</x:v>
      </x:c>
    </x:row>
    <x:row r="1087">
      <x:c r="A1087" t="s">
        <x:v>9</x:v>
      </x:c>
      <x:c r="B1087">
        <x:v>0.92939350301536705</x:v>
      </x:c>
      <x:c r="C1087" t="s">
        <x:v>10</x:v>
      </x:c>
      <x:c r="D1087" t="s">
        <x:v>21</x:v>
      </x:c>
      <x:c r="E1087" t="s">
        <x:v>251</x:v>
      </x:c>
      <x:c r="F1087" t="s">
        <x:v>13</x:v>
      </x:c>
      <x:c r="G1087" t="s">
        <x:v>14</x:v>
      </x:c>
      <x:c r="I1087" t="s">
        <x:v>250</x:v>
      </x:c>
    </x:row>
    <x:row r="1088">
      <x:c r="A1088" t="s">
        <x:v>17</x:v>
      </x:c>
      <x:c r="B1088">
        <x:v>0.12940058112144401</x:v>
      </x:c>
      <x:c r="C1088" t="s">
        <x:v>10</x:v>
      </x:c>
      <x:c r="D1088" t="s">
        <x:v>21</x:v>
      </x:c>
      <x:c r="E1088" t="s">
        <x:v>251</x:v>
      </x:c>
      <x:c r="F1088" t="s">
        <x:v>13</x:v>
      </x:c>
      <x:c r="G1088" t="s">
        <x:v>14</x:v>
      </x:c>
      <x:c r="I1088" t="s">
        <x:v>250</x:v>
      </x:c>
    </x:row>
    <x:row r="1089">
      <x:c r="A1089" t="s">
        <x:v>18</x:v>
      </x:c>
      <x:c r="B1089">
        <x:v>4.2580768465995698E-2</x:v>
      </x:c>
      <x:c r="C1089" t="s">
        <x:v>10</x:v>
      </x:c>
      <x:c r="D1089" t="s">
        <x:v>21</x:v>
      </x:c>
      <x:c r="E1089" t="s">
        <x:v>251</x:v>
      </x:c>
      <x:c r="F1089" t="s">
        <x:v>13</x:v>
      </x:c>
      <x:c r="G1089" t="s">
        <x:v>14</x:v>
      </x:c>
      <x:c r="I1089" t="s">
        <x:v>250</x:v>
      </x:c>
    </x:row>
    <x:row r="1090">
      <x:c r="A1090" t="s">
        <x:v>19</x:v>
      </x:c>
      <x:c r="B1090">
        <x:v>0.20635108060292701</x:v>
      </x:c>
      <x:c r="C1090" t="s">
        <x:v>10</x:v>
      </x:c>
      <x:c r="D1090" t="s">
        <x:v>21</x:v>
      </x:c>
      <x:c r="E1090" t="s">
        <x:v>251</x:v>
      </x:c>
      <x:c r="F1090" t="s">
        <x:v>13</x:v>
      </x:c>
      <x:c r="G1090" t="s">
        <x:v>14</x:v>
      </x:c>
      <x:c r="I1090" t="s">
        <x:v>250</x:v>
      </x:c>
    </x:row>
    <x:row r="1091">
      <x:c r="A1091" t="s">
        <x:v>20</x:v>
      </x:c>
      <x:c r="B1091">
        <x:v>59788826247168</x:v>
      </x:c>
      <x:c r="C1091" t="s">
        <x:v>10</x:v>
      </x:c>
      <x:c r="D1091" t="s">
        <x:v>21</x:v>
      </x:c>
      <x:c r="E1091" t="s">
        <x:v>251</x:v>
      </x:c>
      <x:c r="F1091" t="s">
        <x:v>13</x:v>
      </x:c>
      <x:c r="G1091" t="s">
        <x:v>14</x:v>
      </x:c>
      <x:c r="I1091" t="s">
        <x:v>250</x:v>
      </x:c>
    </x:row>
    <x:row r="1092">
      <x:c r="A1092" t="s">
        <x:v>9</x:v>
      </x:c>
      <x:c r="B1092">
        <x:v>0.87106060486008796</x:v>
      </x:c>
      <x:c r="C1092" t="s">
        <x:v>23</x:v>
      </x:c>
      <x:c r="D1092" t="s">
        <x:v>21</x:v>
      </x:c>
      <x:c r="E1092" t="s">
        <x:v>252</x:v>
      </x:c>
      <x:c r="F1092" t="s">
        <x:v>13</x:v>
      </x:c>
      <x:c r="G1092" t="s">
        <x:v>14</x:v>
      </x:c>
      <x:c r="I1092" t="s">
        <x:v>250</x:v>
      </x:c>
    </x:row>
    <x:row r="1093">
      <x:c r="A1093" t="s">
        <x:v>17</x:v>
      </x:c>
      <x:c r="B1093">
        <x:v>0.27435666322708102</x:v>
      </x:c>
      <x:c r="C1093" t="s">
        <x:v>23</x:v>
      </x:c>
      <x:c r="D1093" t="s">
        <x:v>21</x:v>
      </x:c>
      <x:c r="E1093" t="s">
        <x:v>252</x:v>
      </x:c>
      <x:c r="F1093" t="s">
        <x:v>13</x:v>
      </x:c>
      <x:c r="G1093" t="s">
        <x:v>14</x:v>
      </x:c>
      <x:c r="I1093" t="s">
        <x:v>250</x:v>
      </x:c>
    </x:row>
    <x:row r="1094">
      <x:c r="A1094" t="s">
        <x:v>18</x:v>
      </x:c>
      <x:c r="B1094">
        <x:v>0.21452042460441501</x:v>
      </x:c>
      <x:c r="C1094" t="s">
        <x:v>23</x:v>
      </x:c>
      <x:c r="D1094" t="s">
        <x:v>21</x:v>
      </x:c>
      <x:c r="E1094" t="s">
        <x:v>252</x:v>
      </x:c>
      <x:c r="F1094" t="s">
        <x:v>13</x:v>
      </x:c>
      <x:c r="G1094" t="s">
        <x:v>14</x:v>
      </x:c>
      <x:c r="I1094" t="s">
        <x:v>250</x:v>
      </x:c>
    </x:row>
    <x:row r="1095">
      <x:c r="A1095" t="s">
        <x:v>19</x:v>
      </x:c>
      <x:c r="B1095">
        <x:v>0.46316349662340101</x:v>
      </x:c>
      <x:c r="C1095" t="s">
        <x:v>23</x:v>
      </x:c>
      <x:c r="D1095" t="s">
        <x:v>21</x:v>
      </x:c>
      <x:c r="E1095" t="s">
        <x:v>252</x:v>
      </x:c>
      <x:c r="F1095" t="s">
        <x:v>13</x:v>
      </x:c>
      <x:c r="G1095" t="s">
        <x:v>14</x:v>
      </x:c>
      <x:c r="I1095" t="s">
        <x:v>250</x:v>
      </x:c>
    </x:row>
    <x:row r="1096">
      <x:c r="A1096" t="s">
        <x:v>20</x:v>
      </x:c>
      <x:c r="B1096">
        <x:v>252995149234176</x:v>
      </x:c>
      <x:c r="C1096" t="s">
        <x:v>23</x:v>
      </x:c>
      <x:c r="D1096" t="s">
        <x:v>21</x:v>
      </x:c>
      <x:c r="E1096" t="s">
        <x:v>252</x:v>
      </x:c>
      <x:c r="F1096" t="s">
        <x:v>13</x:v>
      </x:c>
      <x:c r="G1096" t="s">
        <x:v>14</x:v>
      </x:c>
      <x:c r="I1096" t="s">
        <x:v>250</x:v>
      </x:c>
    </x:row>
    <x:row r="1097">
      <x:c r="A1097" t="s">
        <x:v>9</x:v>
      </x:c>
      <x:c r="B1097">
        <x:v>0.87106060486008796</x:v>
      </x:c>
      <x:c r="C1097" t="s">
        <x:v>23</x:v>
      </x:c>
      <x:c r="D1097" t="s">
        <x:v>11</x:v>
      </x:c>
      <x:c r="E1097" t="s">
        <x:v>253</x:v>
      </x:c>
      <x:c r="F1097" t="s">
        <x:v>13</x:v>
      </x:c>
      <x:c r="G1097" t="s">
        <x:v>14</x:v>
      </x:c>
      <x:c r="I1097" t="s">
        <x:v>250</x:v>
      </x:c>
    </x:row>
    <x:row r="1098">
      <x:c r="A1098" t="s">
        <x:v>17</x:v>
      </x:c>
      <x:c r="B1098">
        <x:v>0.27435666322708102</x:v>
      </x:c>
      <x:c r="C1098" t="s">
        <x:v>23</x:v>
      </x:c>
      <x:c r="D1098" t="s">
        <x:v>11</x:v>
      </x:c>
      <x:c r="E1098" t="s">
        <x:v>253</x:v>
      </x:c>
      <x:c r="F1098" t="s">
        <x:v>13</x:v>
      </x:c>
      <x:c r="G1098" t="s">
        <x:v>14</x:v>
      </x:c>
      <x:c r="I1098" t="s">
        <x:v>250</x:v>
      </x:c>
    </x:row>
    <x:row r="1099">
      <x:c r="A1099" t="s">
        <x:v>18</x:v>
      </x:c>
      <x:c r="B1099">
        <x:v>0.21452042460441501</x:v>
      </x:c>
      <x:c r="C1099" t="s">
        <x:v>23</x:v>
      </x:c>
      <x:c r="D1099" t="s">
        <x:v>11</x:v>
      </x:c>
      <x:c r="E1099" t="s">
        <x:v>253</x:v>
      </x:c>
      <x:c r="F1099" t="s">
        <x:v>13</x:v>
      </x:c>
      <x:c r="G1099" t="s">
        <x:v>14</x:v>
      </x:c>
      <x:c r="I1099" t="s">
        <x:v>250</x:v>
      </x:c>
    </x:row>
    <x:row r="1100">
      <x:c r="A1100" t="s">
        <x:v>19</x:v>
      </x:c>
      <x:c r="B1100">
        <x:v>0.46316349662340101</x:v>
      </x:c>
      <x:c r="C1100" t="s">
        <x:v>23</x:v>
      </x:c>
      <x:c r="D1100" t="s">
        <x:v>11</x:v>
      </x:c>
      <x:c r="E1100" t="s">
        <x:v>253</x:v>
      </x:c>
      <x:c r="F1100" t="s">
        <x:v>13</x:v>
      </x:c>
      <x:c r="G1100" t="s">
        <x:v>14</x:v>
      </x:c>
      <x:c r="I1100" t="s">
        <x:v>250</x:v>
      </x:c>
    </x:row>
    <x:row r="1101">
      <x:c r="A1101" t="s">
        <x:v>20</x:v>
      </x:c>
      <x:c r="B1101">
        <x:v>252995149234176</x:v>
      </x:c>
      <x:c r="C1101" t="s">
        <x:v>23</x:v>
      </x:c>
      <x:c r="D1101" t="s">
        <x:v>11</x:v>
      </x:c>
      <x:c r="E1101" t="s">
        <x:v>253</x:v>
      </x:c>
      <x:c r="F1101" t="s">
        <x:v>13</x:v>
      </x:c>
      <x:c r="G1101" t="s">
        <x:v>14</x:v>
      </x:c>
      <x:c r="I1101" t="s">
        <x:v>250</x:v>
      </x:c>
    </x:row>
    <x:row r="1102">
      <x:c r="A1102" t="s">
        <x:v>9</x:v>
      </x:c>
      <x:c r="B1102">
        <x:v>0.89169449949192803</x:v>
      </x:c>
      <x:c r="C1102" t="s">
        <x:v>10</x:v>
      </x:c>
      <x:c r="D1102" t="s">
        <x:v>11</x:v>
      </x:c>
      <x:c r="E1102" t="s">
        <x:v>254</x:v>
      </x:c>
      <x:c r="F1102" t="s">
        <x:v>13</x:v>
      </x:c>
      <x:c r="G1102" t="s">
        <x:v>14</x:v>
      </x:c>
      <x:c r="H1102" t="s">
        <x:v>34</x:v>
      </x:c>
      <x:c r="I1102" t="s">
        <x:v>97</x:v>
      </x:c>
    </x:row>
    <x:row r="1103">
      <x:c r="A1103" t="s">
        <x:v>17</x:v>
      </x:c>
      <x:c r="B1103">
        <x:v>0.28405049443244901</x:v>
      </x:c>
      <x:c r="C1103" t="s">
        <x:v>10</x:v>
      </x:c>
      <x:c r="D1103" t="s">
        <x:v>11</x:v>
      </x:c>
      <x:c r="E1103" t="s">
        <x:v>254</x:v>
      </x:c>
      <x:c r="F1103" t="s">
        <x:v>13</x:v>
      </x:c>
      <x:c r="G1103" t="s">
        <x:v>14</x:v>
      </x:c>
      <x:c r="H1103" t="s">
        <x:v>34</x:v>
      </x:c>
      <x:c r="I1103" t="s">
        <x:v>97</x:v>
      </x:c>
    </x:row>
    <x:row r="1104">
      <x:c r="A1104" t="s">
        <x:v>18</x:v>
      </x:c>
      <x:c r="B1104">
        <x:v>0.14519201219081801</x:v>
      </x:c>
      <x:c r="C1104" t="s">
        <x:v>10</x:v>
      </x:c>
      <x:c r="D1104" t="s">
        <x:v>11</x:v>
      </x:c>
      <x:c r="E1104" t="s">
        <x:v>254</x:v>
      </x:c>
      <x:c r="F1104" t="s">
        <x:v>13</x:v>
      </x:c>
      <x:c r="G1104" t="s">
        <x:v>14</x:v>
      </x:c>
      <x:c r="H1104" t="s">
        <x:v>34</x:v>
      </x:c>
      <x:c r="I1104" t="s">
        <x:v>97</x:v>
      </x:c>
    </x:row>
    <x:row r="1105">
      <x:c r="A1105" t="s">
        <x:v>19</x:v>
      </x:c>
      <x:c r="B1105">
        <x:v>0.38104069623967801</x:v>
      </x:c>
      <x:c r="C1105" t="s">
        <x:v>10</x:v>
      </x:c>
      <x:c r="D1105" t="s">
        <x:v>11</x:v>
      </x:c>
      <x:c r="E1105" t="s">
        <x:v>254</x:v>
      </x:c>
      <x:c r="F1105" t="s">
        <x:v>13</x:v>
      </x:c>
      <x:c r="G1105" t="s">
        <x:v>14</x:v>
      </x:c>
      <x:c r="H1105" t="s">
        <x:v>34</x:v>
      </x:c>
      <x:c r="I1105" t="s">
        <x:v>97</x:v>
      </x:c>
    </x:row>
    <x:row r="1106">
      <x:c r="A1106" t="s">
        <x:v>20</x:v>
      </x:c>
      <x:c r="B1106">
        <x:v>32400268591104</x:v>
      </x:c>
      <x:c r="C1106" t="s">
        <x:v>10</x:v>
      </x:c>
      <x:c r="D1106" t="s">
        <x:v>11</x:v>
      </x:c>
      <x:c r="E1106" t="s">
        <x:v>254</x:v>
      </x:c>
      <x:c r="F1106" t="s">
        <x:v>13</x:v>
      </x:c>
      <x:c r="G1106" t="s">
        <x:v>14</x:v>
      </x:c>
      <x:c r="H1106" t="s">
        <x:v>34</x:v>
      </x:c>
      <x:c r="I1106" t="s">
        <x:v>97</x:v>
      </x:c>
    </x:row>
    <x:row r="1107">
      <x:c r="A1107" t="s">
        <x:v>9</x:v>
      </x:c>
      <x:c r="B1107">
        <x:v>0.89169449949192803</x:v>
      </x:c>
      <x:c r="C1107" t="s">
        <x:v>10</x:v>
      </x:c>
      <x:c r="D1107" t="s">
        <x:v>21</x:v>
      </x:c>
      <x:c r="E1107" t="s">
        <x:v>255</x:v>
      </x:c>
      <x:c r="F1107" t="s">
        <x:v>13</x:v>
      </x:c>
      <x:c r="G1107" t="s">
        <x:v>14</x:v>
      </x:c>
      <x:c r="H1107" t="s">
        <x:v>34</x:v>
      </x:c>
      <x:c r="I1107" t="s">
        <x:v>97</x:v>
      </x:c>
    </x:row>
    <x:row r="1108">
      <x:c r="A1108" t="s">
        <x:v>17</x:v>
      </x:c>
      <x:c r="B1108">
        <x:v>0.28405049443244901</x:v>
      </x:c>
      <x:c r="C1108" t="s">
        <x:v>10</x:v>
      </x:c>
      <x:c r="D1108" t="s">
        <x:v>21</x:v>
      </x:c>
      <x:c r="E1108" t="s">
        <x:v>255</x:v>
      </x:c>
      <x:c r="F1108" t="s">
        <x:v>13</x:v>
      </x:c>
      <x:c r="G1108" t="s">
        <x:v>14</x:v>
      </x:c>
      <x:c r="H1108" t="s">
        <x:v>34</x:v>
      </x:c>
      <x:c r="I1108" t="s">
        <x:v>97</x:v>
      </x:c>
    </x:row>
    <x:row r="1109">
      <x:c r="A1109" t="s">
        <x:v>18</x:v>
      </x:c>
      <x:c r="B1109">
        <x:v>0.14519201219081801</x:v>
      </x:c>
      <x:c r="C1109" t="s">
        <x:v>10</x:v>
      </x:c>
      <x:c r="D1109" t="s">
        <x:v>21</x:v>
      </x:c>
      <x:c r="E1109" t="s">
        <x:v>255</x:v>
      </x:c>
      <x:c r="F1109" t="s">
        <x:v>13</x:v>
      </x:c>
      <x:c r="G1109" t="s">
        <x:v>14</x:v>
      </x:c>
      <x:c r="H1109" t="s">
        <x:v>34</x:v>
      </x:c>
      <x:c r="I1109" t="s">
        <x:v>97</x:v>
      </x:c>
    </x:row>
    <x:row r="1110">
      <x:c r="A1110" t="s">
        <x:v>19</x:v>
      </x:c>
      <x:c r="B1110">
        <x:v>0.38104069623967801</x:v>
      </x:c>
      <x:c r="C1110" t="s">
        <x:v>10</x:v>
      </x:c>
      <x:c r="D1110" t="s">
        <x:v>21</x:v>
      </x:c>
      <x:c r="E1110" t="s">
        <x:v>255</x:v>
      </x:c>
      <x:c r="F1110" t="s">
        <x:v>13</x:v>
      </x:c>
      <x:c r="G1110" t="s">
        <x:v>14</x:v>
      </x:c>
      <x:c r="H1110" t="s">
        <x:v>34</x:v>
      </x:c>
      <x:c r="I1110" t="s">
        <x:v>97</x:v>
      </x:c>
    </x:row>
    <x:row r="1111">
      <x:c r="A1111" t="s">
        <x:v>20</x:v>
      </x:c>
      <x:c r="B1111">
        <x:v>32400268591104</x:v>
      </x:c>
      <x:c r="C1111" t="s">
        <x:v>10</x:v>
      </x:c>
      <x:c r="D1111" t="s">
        <x:v>21</x:v>
      </x:c>
      <x:c r="E1111" t="s">
        <x:v>255</x:v>
      </x:c>
      <x:c r="F1111" t="s">
        <x:v>13</x:v>
      </x:c>
      <x:c r="G1111" t="s">
        <x:v>14</x:v>
      </x:c>
      <x:c r="H1111" t="s">
        <x:v>34</x:v>
      </x:c>
      <x:c r="I1111" t="s">
        <x:v>97</x:v>
      </x:c>
    </x:row>
    <x:row r="1112">
      <x:c r="A1112" t="s">
        <x:v>9</x:v>
      </x:c>
      <x:c r="B1112">
        <x:v>0.92126830687342198</x:v>
      </x:c>
      <x:c r="C1112" t="s">
        <x:v>23</x:v>
      </x:c>
      <x:c r="D1112" t="s">
        <x:v>21</x:v>
      </x:c>
      <x:c r="E1112" t="s">
        <x:v>256</x:v>
      </x:c>
      <x:c r="F1112" t="s">
        <x:v>13</x:v>
      </x:c>
      <x:c r="G1112" t="s">
        <x:v>14</x:v>
      </x:c>
      <x:c r="H1112" t="s">
        <x:v>34</x:v>
      </x:c>
      <x:c r="I1112" t="s">
        <x:v>97</x:v>
      </x:c>
    </x:row>
    <x:row r="1113">
      <x:c r="A1113" t="s">
        <x:v>17</x:v>
      </x:c>
      <x:c r="B1113">
        <x:v>0.23108921945095001</x:v>
      </x:c>
      <x:c r="C1113" t="s">
        <x:v>23</x:v>
      </x:c>
      <x:c r="D1113" t="s">
        <x:v>21</x:v>
      </x:c>
      <x:c r="E1113" t="s">
        <x:v>256</x:v>
      </x:c>
      <x:c r="F1113" t="s">
        <x:v>13</x:v>
      </x:c>
      <x:c r="G1113" t="s">
        <x:v>14</x:v>
      </x:c>
      <x:c r="H1113" t="s">
        <x:v>34</x:v>
      </x:c>
      <x:c r="I1113" t="s">
        <x:v>97</x:v>
      </x:c>
    </x:row>
    <x:row r="1114">
      <x:c r="A1114" t="s">
        <x:v>18</x:v>
      </x:c>
      <x:c r="B1114">
        <x:v>0.122985191643238</x:v>
      </x:c>
      <x:c r="C1114" t="s">
        <x:v>23</x:v>
      </x:c>
      <x:c r="D1114" t="s">
        <x:v>21</x:v>
      </x:c>
      <x:c r="E1114" t="s">
        <x:v>256</x:v>
      </x:c>
      <x:c r="F1114" t="s">
        <x:v>13</x:v>
      </x:c>
      <x:c r="G1114" t="s">
        <x:v>14</x:v>
      </x:c>
      <x:c r="H1114" t="s">
        <x:v>34</x:v>
      </x:c>
      <x:c r="I1114" t="s">
        <x:v>97</x:v>
      </x:c>
    </x:row>
    <x:row r="1115">
      <x:c r="A1115" t="s">
        <x:v>19</x:v>
      </x:c>
      <x:c r="B1115">
        <x:v>0.35069244594549998</x:v>
      </x:c>
      <x:c r="C1115" t="s">
        <x:v>23</x:v>
      </x:c>
      <x:c r="D1115" t="s">
        <x:v>21</x:v>
      </x:c>
      <x:c r="E1115" t="s">
        <x:v>256</x:v>
      </x:c>
      <x:c r="F1115" t="s">
        <x:v>13</x:v>
      </x:c>
      <x:c r="G1115" t="s">
        <x:v>14</x:v>
      </x:c>
      <x:c r="H1115" t="s">
        <x:v>34</x:v>
      </x:c>
      <x:c r="I1115" t="s">
        <x:v>97</x:v>
      </x:c>
    </x:row>
    <x:row r="1116">
      <x:c r="A1116" t="s">
        <x:v>20</x:v>
      </x:c>
      <x:c r="B1116">
        <x:v>243081827844096</x:v>
      </x:c>
      <x:c r="C1116" t="s">
        <x:v>23</x:v>
      </x:c>
      <x:c r="D1116" t="s">
        <x:v>21</x:v>
      </x:c>
      <x:c r="E1116" t="s">
        <x:v>256</x:v>
      </x:c>
      <x:c r="F1116" t="s">
        <x:v>13</x:v>
      </x:c>
      <x:c r="G1116" t="s">
        <x:v>14</x:v>
      </x:c>
      <x:c r="H1116" t="s">
        <x:v>34</x:v>
      </x:c>
      <x:c r="I1116" t="s">
        <x:v>97</x:v>
      </x:c>
    </x:row>
    <x:row r="1117">
      <x:c r="A1117" t="s">
        <x:v>9</x:v>
      </x:c>
      <x:c r="B1117">
        <x:v>0.92126830687342198</x:v>
      </x:c>
      <x:c r="C1117" t="s">
        <x:v>23</x:v>
      </x:c>
      <x:c r="D1117" t="s">
        <x:v>11</x:v>
      </x:c>
      <x:c r="E1117" t="s">
        <x:v>257</x:v>
      </x:c>
      <x:c r="F1117" t="s">
        <x:v>13</x:v>
      </x:c>
      <x:c r="G1117" t="s">
        <x:v>14</x:v>
      </x:c>
      <x:c r="H1117" t="s">
        <x:v>34</x:v>
      </x:c>
      <x:c r="I1117" t="s">
        <x:v>97</x:v>
      </x:c>
    </x:row>
    <x:row r="1118">
      <x:c r="A1118" t="s">
        <x:v>17</x:v>
      </x:c>
      <x:c r="B1118">
        <x:v>0.23108921945095001</x:v>
      </x:c>
      <x:c r="C1118" t="s">
        <x:v>23</x:v>
      </x:c>
      <x:c r="D1118" t="s">
        <x:v>11</x:v>
      </x:c>
      <x:c r="E1118" t="s">
        <x:v>257</x:v>
      </x:c>
      <x:c r="F1118" t="s">
        <x:v>13</x:v>
      </x:c>
      <x:c r="G1118" t="s">
        <x:v>14</x:v>
      </x:c>
      <x:c r="H1118" t="s">
        <x:v>34</x:v>
      </x:c>
      <x:c r="I1118" t="s">
        <x:v>97</x:v>
      </x:c>
    </x:row>
    <x:row r="1119">
      <x:c r="A1119" t="s">
        <x:v>18</x:v>
      </x:c>
      <x:c r="B1119">
        <x:v>0.122985191643238</x:v>
      </x:c>
      <x:c r="C1119" t="s">
        <x:v>23</x:v>
      </x:c>
      <x:c r="D1119" t="s">
        <x:v>11</x:v>
      </x:c>
      <x:c r="E1119" t="s">
        <x:v>257</x:v>
      </x:c>
      <x:c r="F1119" t="s">
        <x:v>13</x:v>
      </x:c>
      <x:c r="G1119" t="s">
        <x:v>14</x:v>
      </x:c>
      <x:c r="H1119" t="s">
        <x:v>34</x:v>
      </x:c>
      <x:c r="I1119" t="s">
        <x:v>97</x:v>
      </x:c>
    </x:row>
    <x:row r="1120">
      <x:c r="A1120" t="s">
        <x:v>19</x:v>
      </x:c>
      <x:c r="B1120">
        <x:v>0.35069244594549998</x:v>
      </x:c>
      <x:c r="C1120" t="s">
        <x:v>23</x:v>
      </x:c>
      <x:c r="D1120" t="s">
        <x:v>11</x:v>
      </x:c>
      <x:c r="E1120" t="s">
        <x:v>257</x:v>
      </x:c>
      <x:c r="F1120" t="s">
        <x:v>13</x:v>
      </x:c>
      <x:c r="G1120" t="s">
        <x:v>14</x:v>
      </x:c>
      <x:c r="H1120" t="s">
        <x:v>34</x:v>
      </x:c>
      <x:c r="I1120" t="s">
        <x:v>97</x:v>
      </x:c>
    </x:row>
    <x:row r="1121">
      <x:c r="A1121" t="s">
        <x:v>20</x:v>
      </x:c>
      <x:c r="B1121">
        <x:v>243081827844096</x:v>
      </x:c>
      <x:c r="C1121" t="s">
        <x:v>23</x:v>
      </x:c>
      <x:c r="D1121" t="s">
        <x:v>11</x:v>
      </x:c>
      <x:c r="E1121" t="s">
        <x:v>257</x:v>
      </x:c>
      <x:c r="F1121" t="s">
        <x:v>13</x:v>
      </x:c>
      <x:c r="G1121" t="s">
        <x:v>14</x:v>
      </x:c>
      <x:c r="H1121" t="s">
        <x:v>34</x:v>
      </x:c>
      <x:c r="I1121" t="s">
        <x:v>97</x:v>
      </x:c>
    </x:row>
    <x:row r="1122">
      <x:c r="A1122" t="s">
        <x:v>9</x:v>
      </x:c>
      <x:c r="C1122" t="s">
        <x:v>10</x:v>
      </x:c>
      <x:c r="D1122" t="s">
        <x:v>11</x:v>
      </x:c>
      <x:c r="E1122" t="s">
        <x:v>258</x:v>
      </x:c>
      <x:c r="F1122" t="s">
        <x:v>13</x:v>
      </x:c>
      <x:c r="G1122" t="s">
        <x:v>27</x:v>
      </x:c>
      <x:c r="H1122" t="s">
        <x:v>34</x:v>
      </x:c>
      <x:c r="I1122" t="s">
        <x:v>87</x:v>
      </x:c>
    </x:row>
    <x:row r="1123">
      <x:c r="A1123" t="s">
        <x:v>17</x:v>
      </x:c>
      <x:c r="B1123">
        <x:v>1.6149113178253101</x:v>
      </x:c>
      <x:c r="C1123" t="s">
        <x:v>10</x:v>
      </x:c>
      <x:c r="D1123" t="s">
        <x:v>11</x:v>
      </x:c>
      <x:c r="E1123" t="s">
        <x:v>258</x:v>
      </x:c>
      <x:c r="F1123" t="s">
        <x:v>13</x:v>
      </x:c>
      <x:c r="G1123" t="s">
        <x:v>27</x:v>
      </x:c>
      <x:c r="H1123" t="s">
        <x:v>34</x:v>
      </x:c>
      <x:c r="I1123" t="s">
        <x:v>87</x:v>
      </x:c>
    </x:row>
    <x:row r="1124">
      <x:c r="A1124" t="s">
        <x:v>18</x:v>
      </x:c>
      <x:c r="B1124">
        <x:v>3.9067165851593</x:v>
      </x:c>
      <x:c r="C1124" t="s">
        <x:v>10</x:v>
      </x:c>
      <x:c r="D1124" t="s">
        <x:v>11</x:v>
      </x:c>
      <x:c r="E1124" t="s">
        <x:v>258</x:v>
      </x:c>
      <x:c r="F1124" t="s">
        <x:v>13</x:v>
      </x:c>
      <x:c r="G1124" t="s">
        <x:v>27</x:v>
      </x:c>
      <x:c r="H1124" t="s">
        <x:v>34</x:v>
      </x:c>
      <x:c r="I1124" t="s">
        <x:v>87</x:v>
      </x:c>
    </x:row>
    <x:row r="1125">
      <x:c r="A1125" t="s">
        <x:v>19</x:v>
      </x:c>
      <x:c r="B1125">
        <x:v>1.9765415718267301</x:v>
      </x:c>
      <x:c r="C1125" t="s">
        <x:v>10</x:v>
      </x:c>
      <x:c r="D1125" t="s">
        <x:v>11</x:v>
      </x:c>
      <x:c r="E1125" t="s">
        <x:v>258</x:v>
      </x:c>
      <x:c r="F1125" t="s">
        <x:v>13</x:v>
      </x:c>
      <x:c r="G1125" t="s">
        <x:v>27</x:v>
      </x:c>
      <x:c r="H1125" t="s">
        <x:v>34</x:v>
      </x:c>
      <x:c r="I1125" t="s">
        <x:v>87</x:v>
      </x:c>
    </x:row>
    <x:row r="1126">
      <x:c r="A1126" t="s">
        <x:v>20</x:v>
      </x:c>
      <x:c r="B1126">
        <x:v>1654675745013760</x:v>
      </x:c>
      <x:c r="C1126" t="s">
        <x:v>10</x:v>
      </x:c>
      <x:c r="D1126" t="s">
        <x:v>11</x:v>
      </x:c>
      <x:c r="E1126" t="s">
        <x:v>258</x:v>
      </x:c>
      <x:c r="F1126" t="s">
        <x:v>13</x:v>
      </x:c>
      <x:c r="G1126" t="s">
        <x:v>27</x:v>
      </x:c>
      <x:c r="H1126" t="s">
        <x:v>34</x:v>
      </x:c>
      <x:c r="I1126" t="s">
        <x:v>87</x:v>
      </x:c>
    </x:row>
    <x:row r="1127">
      <x:c r="A1127" t="s">
        <x:v>9</x:v>
      </x:c>
      <x:c r="C1127" t="s">
        <x:v>10</x:v>
      </x:c>
      <x:c r="D1127" t="s">
        <x:v>21</x:v>
      </x:c>
      <x:c r="E1127" t="s">
        <x:v>259</x:v>
      </x:c>
      <x:c r="F1127" t="s">
        <x:v>13</x:v>
      </x:c>
      <x:c r="G1127" t="s">
        <x:v>27</x:v>
      </x:c>
      <x:c r="H1127" t="s">
        <x:v>34</x:v>
      </x:c>
      <x:c r="I1127" t="s">
        <x:v>87</x:v>
      </x:c>
    </x:row>
    <x:row r="1128">
      <x:c r="A1128" t="s">
        <x:v>17</x:v>
      </x:c>
      <x:c r="B1128">
        <x:v>1.6149113178253101</x:v>
      </x:c>
      <x:c r="C1128" t="s">
        <x:v>10</x:v>
      </x:c>
      <x:c r="D1128" t="s">
        <x:v>21</x:v>
      </x:c>
      <x:c r="E1128" t="s">
        <x:v>259</x:v>
      </x:c>
      <x:c r="F1128" t="s">
        <x:v>13</x:v>
      </x:c>
      <x:c r="G1128" t="s">
        <x:v>27</x:v>
      </x:c>
      <x:c r="H1128" t="s">
        <x:v>34</x:v>
      </x:c>
      <x:c r="I1128" t="s">
        <x:v>87</x:v>
      </x:c>
    </x:row>
    <x:row r="1129">
      <x:c r="A1129" t="s">
        <x:v>18</x:v>
      </x:c>
      <x:c r="B1129">
        <x:v>3.9067165851593</x:v>
      </x:c>
      <x:c r="C1129" t="s">
        <x:v>10</x:v>
      </x:c>
      <x:c r="D1129" t="s">
        <x:v>21</x:v>
      </x:c>
      <x:c r="E1129" t="s">
        <x:v>259</x:v>
      </x:c>
      <x:c r="F1129" t="s">
        <x:v>13</x:v>
      </x:c>
      <x:c r="G1129" t="s">
        <x:v>27</x:v>
      </x:c>
      <x:c r="H1129" t="s">
        <x:v>34</x:v>
      </x:c>
      <x:c r="I1129" t="s">
        <x:v>87</x:v>
      </x:c>
    </x:row>
    <x:row r="1130">
      <x:c r="A1130" t="s">
        <x:v>19</x:v>
      </x:c>
      <x:c r="B1130">
        <x:v>1.9765415718267301</x:v>
      </x:c>
      <x:c r="C1130" t="s">
        <x:v>10</x:v>
      </x:c>
      <x:c r="D1130" t="s">
        <x:v>21</x:v>
      </x:c>
      <x:c r="E1130" t="s">
        <x:v>259</x:v>
      </x:c>
      <x:c r="F1130" t="s">
        <x:v>13</x:v>
      </x:c>
      <x:c r="G1130" t="s">
        <x:v>27</x:v>
      </x:c>
      <x:c r="H1130" t="s">
        <x:v>34</x:v>
      </x:c>
      <x:c r="I1130" t="s">
        <x:v>87</x:v>
      </x:c>
    </x:row>
    <x:row r="1131">
      <x:c r="A1131" t="s">
        <x:v>20</x:v>
      </x:c>
      <x:c r="B1131">
        <x:v>1654675745013760</x:v>
      </x:c>
      <x:c r="C1131" t="s">
        <x:v>10</x:v>
      </x:c>
      <x:c r="D1131" t="s">
        <x:v>21</x:v>
      </x:c>
      <x:c r="E1131" t="s">
        <x:v>259</x:v>
      </x:c>
      <x:c r="F1131" t="s">
        <x:v>13</x:v>
      </x:c>
      <x:c r="G1131" t="s">
        <x:v>27</x:v>
      </x:c>
      <x:c r="H1131" t="s">
        <x:v>34</x:v>
      </x:c>
      <x:c r="I1131" t="s">
        <x:v>87</x:v>
      </x:c>
    </x:row>
    <x:row r="1132">
      <x:c r="A1132" t="s">
        <x:v>9</x:v>
      </x:c>
      <x:c r="B1132">
        <x:v>0.264836595922884</x:v>
      </x:c>
      <x:c r="C1132" t="s">
        <x:v>23</x:v>
      </x:c>
      <x:c r="D1132" t="s">
        <x:v>21</x:v>
      </x:c>
      <x:c r="E1132" t="s">
        <x:v>260</x:v>
      </x:c>
      <x:c r="F1132" t="s">
        <x:v>13</x:v>
      </x:c>
      <x:c r="G1132" t="s">
        <x:v>27</x:v>
      </x:c>
      <x:c r="H1132" t="s">
        <x:v>34</x:v>
      </x:c>
      <x:c r="I1132" t="s">
        <x:v>87</x:v>
      </x:c>
    </x:row>
    <x:row r="1133">
      <x:c r="A1133" t="s">
        <x:v>17</x:v>
      </x:c>
      <x:c r="B1133">
        <x:v>37292728320</x:v>
      </x:c>
      <x:c r="C1133" t="s">
        <x:v>23</x:v>
      </x:c>
      <x:c r="D1133" t="s">
        <x:v>21</x:v>
      </x:c>
      <x:c r="E1133" t="s">
        <x:v>260</x:v>
      </x:c>
      <x:c r="F1133" t="s">
        <x:v>13</x:v>
      </x:c>
      <x:c r="G1133" t="s">
        <x:v>27</x:v>
      </x:c>
      <x:c r="H1133" t="s">
        <x:v>34</x:v>
      </x:c>
      <x:c r="I1133" t="s">
        <x:v>87</x:v>
      </x:c>
    </x:row>
    <x:row r="1134">
      <x:c r="A1134" t="s">
        <x:v>18</x:v>
      </x:c>
      <x:c r="B1134" s="1">
        <x:v>4.7863860522926403E+23</x:v>
      </x:c>
      <x:c r="C1134" t="s">
        <x:v>23</x:v>
      </x:c>
      <x:c r="D1134" t="s">
        <x:v>21</x:v>
      </x:c>
      <x:c r="E1134" t="s">
        <x:v>260</x:v>
      </x:c>
      <x:c r="F1134" t="s">
        <x:v>13</x:v>
      </x:c>
      <x:c r="G1134" t="s">
        <x:v>27</x:v>
      </x:c>
      <x:c r="H1134" t="s">
        <x:v>34</x:v>
      </x:c>
      <x:c r="I1134" t="s">
        <x:v>87</x:v>
      </x:c>
    </x:row>
    <x:row r="1135">
      <x:c r="A1135" t="s">
        <x:v>19</x:v>
      </x:c>
      <x:c r="B1135">
        <x:v>691837123338.47998</x:v>
      </x:c>
      <x:c r="C1135" t="s">
        <x:v>23</x:v>
      </x:c>
      <x:c r="D1135" t="s">
        <x:v>21</x:v>
      </x:c>
      <x:c r="E1135" t="s">
        <x:v>260</x:v>
      </x:c>
      <x:c r="F1135" t="s">
        <x:v>13</x:v>
      </x:c>
      <x:c r="G1135" t="s">
        <x:v>27</x:v>
      </x:c>
      <x:c r="H1135" t="s">
        <x:v>34</x:v>
      </x:c>
      <x:c r="I1135" t="s">
        <x:v>87</x:v>
      </x:c>
    </x:row>
    <x:row r="1136">
      <x:c r="A1136" t="s">
        <x:v>20</x:v>
      </x:c>
      <x:c r="B1136" s="1">
        <x:v>9.6663314595041405E+21</x:v>
      </x:c>
      <x:c r="C1136" t="s">
        <x:v>23</x:v>
      </x:c>
      <x:c r="D1136" t="s">
        <x:v>21</x:v>
      </x:c>
      <x:c r="E1136" t="s">
        <x:v>260</x:v>
      </x:c>
      <x:c r="F1136" t="s">
        <x:v>13</x:v>
      </x:c>
      <x:c r="G1136" t="s">
        <x:v>27</x:v>
      </x:c>
      <x:c r="H1136" t="s">
        <x:v>34</x:v>
      </x:c>
      <x:c r="I1136" t="s">
        <x:v>87</x:v>
      </x:c>
    </x:row>
    <x:row r="1137">
      <x:c r="A1137" t="s">
        <x:v>9</x:v>
      </x:c>
      <x:c r="B1137">
        <x:v>0.264836595922884</x:v>
      </x:c>
      <x:c r="C1137" t="s">
        <x:v>23</x:v>
      </x:c>
      <x:c r="D1137" t="s">
        <x:v>11</x:v>
      </x:c>
      <x:c r="E1137" t="s">
        <x:v>261</x:v>
      </x:c>
      <x:c r="F1137" t="s">
        <x:v>13</x:v>
      </x:c>
      <x:c r="G1137" t="s">
        <x:v>27</x:v>
      </x:c>
      <x:c r="H1137" t="s">
        <x:v>34</x:v>
      </x:c>
      <x:c r="I1137" t="s">
        <x:v>87</x:v>
      </x:c>
    </x:row>
    <x:row r="1138">
      <x:c r="A1138" t="s">
        <x:v>17</x:v>
      </x:c>
      <x:c r="B1138">
        <x:v>37292728320</x:v>
      </x:c>
      <x:c r="C1138" t="s">
        <x:v>23</x:v>
      </x:c>
      <x:c r="D1138" t="s">
        <x:v>11</x:v>
      </x:c>
      <x:c r="E1138" t="s">
        <x:v>261</x:v>
      </x:c>
      <x:c r="F1138" t="s">
        <x:v>13</x:v>
      </x:c>
      <x:c r="G1138" t="s">
        <x:v>27</x:v>
      </x:c>
      <x:c r="H1138" t="s">
        <x:v>34</x:v>
      </x:c>
      <x:c r="I1138" t="s">
        <x:v>87</x:v>
      </x:c>
    </x:row>
    <x:row r="1139">
      <x:c r="A1139" t="s">
        <x:v>18</x:v>
      </x:c>
      <x:c r="B1139" s="1">
        <x:v>4.7863860522926403E+23</x:v>
      </x:c>
      <x:c r="C1139" t="s">
        <x:v>23</x:v>
      </x:c>
      <x:c r="D1139" t="s">
        <x:v>11</x:v>
      </x:c>
      <x:c r="E1139" t="s">
        <x:v>261</x:v>
      </x:c>
      <x:c r="F1139" t="s">
        <x:v>13</x:v>
      </x:c>
      <x:c r="G1139" t="s">
        <x:v>27</x:v>
      </x:c>
      <x:c r="H1139" t="s">
        <x:v>34</x:v>
      </x:c>
      <x:c r="I1139" t="s">
        <x:v>87</x:v>
      </x:c>
    </x:row>
    <x:row r="1140">
      <x:c r="A1140" t="s">
        <x:v>19</x:v>
      </x:c>
      <x:c r="B1140">
        <x:v>691837123338.47998</x:v>
      </x:c>
      <x:c r="C1140" t="s">
        <x:v>23</x:v>
      </x:c>
      <x:c r="D1140" t="s">
        <x:v>11</x:v>
      </x:c>
      <x:c r="E1140" t="s">
        <x:v>261</x:v>
      </x:c>
      <x:c r="F1140" t="s">
        <x:v>13</x:v>
      </x:c>
      <x:c r="G1140" t="s">
        <x:v>27</x:v>
      </x:c>
      <x:c r="H1140" t="s">
        <x:v>34</x:v>
      </x:c>
      <x:c r="I1140" t="s">
        <x:v>87</x:v>
      </x:c>
    </x:row>
    <x:row r="1141">
      <x:c r="A1141" t="s">
        <x:v>20</x:v>
      </x:c>
      <x:c r="B1141" s="1">
        <x:v>9.6663314595041405E+21</x:v>
      </x:c>
      <x:c r="C1141" t="s">
        <x:v>23</x:v>
      </x:c>
      <x:c r="D1141" t="s">
        <x:v>11</x:v>
      </x:c>
      <x:c r="E1141" t="s">
        <x:v>261</x:v>
      </x:c>
      <x:c r="F1141" t="s">
        <x:v>13</x:v>
      </x:c>
      <x:c r="G1141" t="s">
        <x:v>27</x:v>
      </x:c>
      <x:c r="H1141" t="s">
        <x:v>34</x:v>
      </x:c>
      <x:c r="I1141" t="s">
        <x:v>87</x:v>
      </x:c>
    </x:row>
    <x:row r="1142">
      <x:c r="A1142" t="s">
        <x:v>9</x:v>
      </x:c>
      <x:c r="B1142">
        <x:v>0.90480706879119999</x:v>
      </x:c>
      <x:c r="C1142" t="s">
        <x:v>10</x:v>
      </x:c>
      <x:c r="D1142" t="s">
        <x:v>11</x:v>
      </x:c>
      <x:c r="E1142" t="s">
        <x:v>262</x:v>
      </x:c>
      <x:c r="F1142" t="s">
        <x:v>33</x:v>
      </x:c>
      <x:c r="G1142" t="s">
        <x:v>14</x:v>
      </x:c>
      <x:c r="H1142" t="s">
        <x:v>15</x:v>
      </x:c>
      <x:c r="I1142" t="s">
        <x:v>97</x:v>
      </x:c>
    </x:row>
    <x:row r="1143">
      <x:c r="A1143" t="s">
        <x:v>17</x:v>
      </x:c>
      <x:c r="B1143">
        <x:v>0.31482818722724898</x:v>
      </x:c>
      <x:c r="C1143" t="s">
        <x:v>10</x:v>
      </x:c>
      <x:c r="D1143" t="s">
        <x:v>11</x:v>
      </x:c>
      <x:c r="E1143" t="s">
        <x:v>262</x:v>
      </x:c>
      <x:c r="F1143" t="s">
        <x:v>33</x:v>
      </x:c>
      <x:c r="G1143" t="s">
        <x:v>14</x:v>
      </x:c>
      <x:c r="H1143" t="s">
        <x:v>15</x:v>
      </x:c>
      <x:c r="I1143" t="s">
        <x:v>97</x:v>
      </x:c>
    </x:row>
    <x:row r="1144">
      <x:c r="A1144" t="s">
        <x:v>18</x:v>
      </x:c>
      <x:c r="B1144">
        <x:v>0.17699626088142301</x:v>
      </x:c>
      <x:c r="C1144" t="s">
        <x:v>10</x:v>
      </x:c>
      <x:c r="D1144" t="s">
        <x:v>11</x:v>
      </x:c>
      <x:c r="E1144" t="s">
        <x:v>262</x:v>
      </x:c>
      <x:c r="F1144" t="s">
        <x:v>33</x:v>
      </x:c>
      <x:c r="G1144" t="s">
        <x:v>14</x:v>
      </x:c>
      <x:c r="H1144" t="s">
        <x:v>15</x:v>
      </x:c>
      <x:c r="I1144" t="s">
        <x:v>97</x:v>
      </x:c>
    </x:row>
    <x:row r="1145">
      <x:c r="A1145" t="s">
        <x:v>19</x:v>
      </x:c>
      <x:c r="B1145">
        <x:v>0.42070923555517997</x:v>
      </x:c>
      <x:c r="C1145" t="s">
        <x:v>10</x:v>
      </x:c>
      <x:c r="D1145" t="s">
        <x:v>11</x:v>
      </x:c>
      <x:c r="E1145" t="s">
        <x:v>262</x:v>
      </x:c>
      <x:c r="F1145" t="s">
        <x:v>33</x:v>
      </x:c>
      <x:c r="G1145" t="s">
        <x:v>14</x:v>
      </x:c>
      <x:c r="H1145" t="s">
        <x:v>15</x:v>
      </x:c>
      <x:c r="I1145" t="s">
        <x:v>97</x:v>
      </x:c>
    </x:row>
    <x:row r="1146">
      <x:c r="A1146" t="s">
        <x:v>20</x:v>
      </x:c>
      <x:c r="B1146">
        <x:v>16422642122752</x:v>
      </x:c>
      <x:c r="C1146" t="s">
        <x:v>10</x:v>
      </x:c>
      <x:c r="D1146" t="s">
        <x:v>11</x:v>
      </x:c>
      <x:c r="E1146" t="s">
        <x:v>262</x:v>
      </x:c>
      <x:c r="F1146" t="s">
        <x:v>33</x:v>
      </x:c>
      <x:c r="G1146" t="s">
        <x:v>14</x:v>
      </x:c>
      <x:c r="H1146" t="s">
        <x:v>15</x:v>
      </x:c>
      <x:c r="I1146" t="s">
        <x:v>97</x:v>
      </x:c>
    </x:row>
    <x:row r="1147">
      <x:c r="A1147" t="s">
        <x:v>9</x:v>
      </x:c>
      <x:c r="B1147">
        <x:v>0.90480706879119999</x:v>
      </x:c>
      <x:c r="C1147" t="s">
        <x:v>10</x:v>
      </x:c>
      <x:c r="D1147" t="s">
        <x:v>21</x:v>
      </x:c>
      <x:c r="E1147" t="s">
        <x:v>263</x:v>
      </x:c>
      <x:c r="F1147" t="s">
        <x:v>33</x:v>
      </x:c>
      <x:c r="G1147" t="s">
        <x:v>14</x:v>
      </x:c>
      <x:c r="H1147" t="s">
        <x:v>15</x:v>
      </x:c>
      <x:c r="I1147" t="s">
        <x:v>97</x:v>
      </x:c>
    </x:row>
    <x:row r="1148">
      <x:c r="A1148" t="s">
        <x:v>17</x:v>
      </x:c>
      <x:c r="B1148">
        <x:v>0.31482818722724898</x:v>
      </x:c>
      <x:c r="C1148" t="s">
        <x:v>10</x:v>
      </x:c>
      <x:c r="D1148" t="s">
        <x:v>21</x:v>
      </x:c>
      <x:c r="E1148" t="s">
        <x:v>263</x:v>
      </x:c>
      <x:c r="F1148" t="s">
        <x:v>33</x:v>
      </x:c>
      <x:c r="G1148" t="s">
        <x:v>14</x:v>
      </x:c>
      <x:c r="H1148" t="s">
        <x:v>15</x:v>
      </x:c>
      <x:c r="I1148" t="s">
        <x:v>97</x:v>
      </x:c>
    </x:row>
    <x:row r="1149">
      <x:c r="A1149" t="s">
        <x:v>18</x:v>
      </x:c>
      <x:c r="B1149">
        <x:v>0.17699626088142301</x:v>
      </x:c>
      <x:c r="C1149" t="s">
        <x:v>10</x:v>
      </x:c>
      <x:c r="D1149" t="s">
        <x:v>21</x:v>
      </x:c>
      <x:c r="E1149" t="s">
        <x:v>263</x:v>
      </x:c>
      <x:c r="F1149" t="s">
        <x:v>33</x:v>
      </x:c>
      <x:c r="G1149" t="s">
        <x:v>14</x:v>
      </x:c>
      <x:c r="H1149" t="s">
        <x:v>15</x:v>
      </x:c>
      <x:c r="I1149" t="s">
        <x:v>97</x:v>
      </x:c>
    </x:row>
    <x:row r="1150">
      <x:c r="A1150" t="s">
        <x:v>19</x:v>
      </x:c>
      <x:c r="B1150">
        <x:v>0.42070923555517997</x:v>
      </x:c>
      <x:c r="C1150" t="s">
        <x:v>10</x:v>
      </x:c>
      <x:c r="D1150" t="s">
        <x:v>21</x:v>
      </x:c>
      <x:c r="E1150" t="s">
        <x:v>263</x:v>
      </x:c>
      <x:c r="F1150" t="s">
        <x:v>33</x:v>
      </x:c>
      <x:c r="G1150" t="s">
        <x:v>14</x:v>
      </x:c>
      <x:c r="H1150" t="s">
        <x:v>15</x:v>
      </x:c>
      <x:c r="I1150" t="s">
        <x:v>97</x:v>
      </x:c>
    </x:row>
    <x:row r="1151">
      <x:c r="A1151" t="s">
        <x:v>20</x:v>
      </x:c>
      <x:c r="B1151">
        <x:v>16422642122752</x:v>
      </x:c>
      <x:c r="C1151" t="s">
        <x:v>10</x:v>
      </x:c>
      <x:c r="D1151" t="s">
        <x:v>21</x:v>
      </x:c>
      <x:c r="E1151" t="s">
        <x:v>263</x:v>
      </x:c>
      <x:c r="F1151" t="s">
        <x:v>33</x:v>
      </x:c>
      <x:c r="G1151" t="s">
        <x:v>14</x:v>
      </x:c>
      <x:c r="H1151" t="s">
        <x:v>15</x:v>
      </x:c>
      <x:c r="I1151" t="s">
        <x:v>97</x:v>
      </x:c>
    </x:row>
    <x:row r="1152">
      <x:c r="A1152" t="s">
        <x:v>9</x:v>
      </x:c>
      <x:c r="B1152">
        <x:v>0.73235796346528204</x:v>
      </x:c>
      <x:c r="C1152" t="s">
        <x:v>23</x:v>
      </x:c>
      <x:c r="D1152" t="s">
        <x:v>21</x:v>
      </x:c>
      <x:c r="E1152" t="s">
        <x:v>264</x:v>
      </x:c>
      <x:c r="F1152" t="s">
        <x:v>33</x:v>
      </x:c>
      <x:c r="G1152" t="s">
        <x:v>14</x:v>
      </x:c>
      <x:c r="H1152" t="s">
        <x:v>15</x:v>
      </x:c>
      <x:c r="I1152" t="s">
        <x:v>97</x:v>
      </x:c>
    </x:row>
    <x:row r="1153">
      <x:c r="A1153" t="s">
        <x:v>17</x:v>
      </x:c>
      <x:c r="B1153">
        <x:v>0.57468783855438199</x:v>
      </x:c>
      <x:c r="C1153" t="s">
        <x:v>23</x:v>
      </x:c>
      <x:c r="D1153" t="s">
        <x:v>21</x:v>
      </x:c>
      <x:c r="E1153" t="s">
        <x:v>264</x:v>
      </x:c>
      <x:c r="F1153" t="s">
        <x:v>33</x:v>
      </x:c>
      <x:c r="G1153" t="s">
        <x:v>14</x:v>
      </x:c>
      <x:c r="H1153" t="s">
        <x:v>15</x:v>
      </x:c>
      <x:c r="I1153" t="s">
        <x:v>97</x:v>
      </x:c>
    </x:row>
    <x:row r="1154">
      <x:c r="A1154" t="s">
        <x:v>18</x:v>
      </x:c>
      <x:c r="B1154">
        <x:v>0.74462306499481201</x:v>
      </x:c>
      <x:c r="C1154" t="s">
        <x:v>23</x:v>
      </x:c>
      <x:c r="D1154" t="s">
        <x:v>21</x:v>
      </x:c>
      <x:c r="E1154" t="s">
        <x:v>264</x:v>
      </x:c>
      <x:c r="F1154" t="s">
        <x:v>33</x:v>
      </x:c>
      <x:c r="G1154" t="s">
        <x:v>14</x:v>
      </x:c>
      <x:c r="H1154" t="s">
        <x:v>15</x:v>
      </x:c>
      <x:c r="I1154" t="s">
        <x:v>97</x:v>
      </x:c>
    </x:row>
    <x:row r="1155">
      <x:c r="A1155" t="s">
        <x:v>19</x:v>
      </x:c>
      <x:c r="B1155">
        <x:v>0.862915444869781</x:v>
      </x:c>
      <x:c r="C1155" t="s">
        <x:v>23</x:v>
      </x:c>
      <x:c r="D1155" t="s">
        <x:v>21</x:v>
      </x:c>
      <x:c r="E1155" t="s">
        <x:v>264</x:v>
      </x:c>
      <x:c r="F1155" t="s">
        <x:v>33</x:v>
      </x:c>
      <x:c r="G1155" t="s">
        <x:v>14</x:v>
      </x:c>
      <x:c r="H1155" t="s">
        <x:v>15</x:v>
      </x:c>
      <x:c r="I1155" t="s">
        <x:v>97</x:v>
      </x:c>
    </x:row>
    <x:row r="1156">
      <x:c r="A1156" t="s">
        <x:v>20</x:v>
      </x:c>
      <x:c r="B1156">
        <x:v>185847647305728</x:v>
      </x:c>
      <x:c r="C1156" t="s">
        <x:v>23</x:v>
      </x:c>
      <x:c r="D1156" t="s">
        <x:v>21</x:v>
      </x:c>
      <x:c r="E1156" t="s">
        <x:v>264</x:v>
      </x:c>
      <x:c r="F1156" t="s">
        <x:v>33</x:v>
      </x:c>
      <x:c r="G1156" t="s">
        <x:v>14</x:v>
      </x:c>
      <x:c r="H1156" t="s">
        <x:v>15</x:v>
      </x:c>
      <x:c r="I1156" t="s">
        <x:v>97</x:v>
      </x:c>
    </x:row>
    <x:row r="1157">
      <x:c r="A1157" t="s">
        <x:v>9</x:v>
      </x:c>
      <x:c r="B1157">
        <x:v>0.73235796346528204</x:v>
      </x:c>
      <x:c r="C1157" t="s">
        <x:v>23</x:v>
      </x:c>
      <x:c r="D1157" t="s">
        <x:v>11</x:v>
      </x:c>
      <x:c r="E1157" t="s">
        <x:v>265</x:v>
      </x:c>
      <x:c r="F1157" t="s">
        <x:v>33</x:v>
      </x:c>
      <x:c r="G1157" t="s">
        <x:v>14</x:v>
      </x:c>
      <x:c r="H1157" t="s">
        <x:v>15</x:v>
      </x:c>
      <x:c r="I1157" t="s">
        <x:v>97</x:v>
      </x:c>
    </x:row>
    <x:row r="1158">
      <x:c r="A1158" t="s">
        <x:v>17</x:v>
      </x:c>
      <x:c r="B1158">
        <x:v>0.57468783855438199</x:v>
      </x:c>
      <x:c r="C1158" t="s">
        <x:v>23</x:v>
      </x:c>
      <x:c r="D1158" t="s">
        <x:v>11</x:v>
      </x:c>
      <x:c r="E1158" t="s">
        <x:v>265</x:v>
      </x:c>
      <x:c r="F1158" t="s">
        <x:v>33</x:v>
      </x:c>
      <x:c r="G1158" t="s">
        <x:v>14</x:v>
      </x:c>
      <x:c r="H1158" t="s">
        <x:v>15</x:v>
      </x:c>
      <x:c r="I1158" t="s">
        <x:v>97</x:v>
      </x:c>
    </x:row>
    <x:row r="1159">
      <x:c r="A1159" t="s">
        <x:v>18</x:v>
      </x:c>
      <x:c r="B1159">
        <x:v>0.74462306499481201</x:v>
      </x:c>
      <x:c r="C1159" t="s">
        <x:v>23</x:v>
      </x:c>
      <x:c r="D1159" t="s">
        <x:v>11</x:v>
      </x:c>
      <x:c r="E1159" t="s">
        <x:v>265</x:v>
      </x:c>
      <x:c r="F1159" t="s">
        <x:v>33</x:v>
      </x:c>
      <x:c r="G1159" t="s">
        <x:v>14</x:v>
      </x:c>
      <x:c r="H1159" t="s">
        <x:v>15</x:v>
      </x:c>
      <x:c r="I1159" t="s">
        <x:v>97</x:v>
      </x:c>
    </x:row>
    <x:row r="1160">
      <x:c r="A1160" t="s">
        <x:v>19</x:v>
      </x:c>
      <x:c r="B1160">
        <x:v>0.862915444869781</x:v>
      </x:c>
      <x:c r="C1160" t="s">
        <x:v>23</x:v>
      </x:c>
      <x:c r="D1160" t="s">
        <x:v>11</x:v>
      </x:c>
      <x:c r="E1160" t="s">
        <x:v>265</x:v>
      </x:c>
      <x:c r="F1160" t="s">
        <x:v>33</x:v>
      </x:c>
      <x:c r="G1160" t="s">
        <x:v>14</x:v>
      </x:c>
      <x:c r="H1160" t="s">
        <x:v>15</x:v>
      </x:c>
      <x:c r="I1160" t="s">
        <x:v>97</x:v>
      </x:c>
    </x:row>
    <x:row r="1161">
      <x:c r="A1161" t="s">
        <x:v>20</x:v>
      </x:c>
      <x:c r="B1161">
        <x:v>185847647305728</x:v>
      </x:c>
      <x:c r="C1161" t="s">
        <x:v>23</x:v>
      </x:c>
      <x:c r="D1161" t="s">
        <x:v>11</x:v>
      </x:c>
      <x:c r="E1161" t="s">
        <x:v>265</x:v>
      </x:c>
      <x:c r="F1161" t="s">
        <x:v>33</x:v>
      </x:c>
      <x:c r="G1161" t="s">
        <x:v>14</x:v>
      </x:c>
      <x:c r="H1161" t="s">
        <x:v>15</x:v>
      </x:c>
      <x:c r="I1161" t="s">
        <x:v>97</x:v>
      </x:c>
    </x:row>
    <x:row r="1162">
      <x:c r="A1162" t="s">
        <x:v>9</x:v>
      </x:c>
      <x:c r="B1162">
        <x:v>0.93252790700848798</x:v>
      </x:c>
      <x:c r="C1162" t="s">
        <x:v>10</x:v>
      </x:c>
      <x:c r="D1162" t="s">
        <x:v>11</x:v>
      </x:c>
      <x:c r="E1162" t="s">
        <x:v>266</x:v>
      </x:c>
      <x:c r="F1162" t="s">
        <x:v>33</x:v>
      </x:c>
      <x:c r="G1162" t="s">
        <x:v>14</x:v>
      </x:c>
      <x:c r="I1162" t="s">
        <x:v>87</x:v>
      </x:c>
    </x:row>
    <x:row r="1163">
      <x:c r="A1163" t="s">
        <x:v>17</x:v>
      </x:c>
      <x:c r="B1163">
        <x:v>0.17881688475608801</x:v>
      </x:c>
      <x:c r="C1163" t="s">
        <x:v>10</x:v>
      </x:c>
      <x:c r="D1163" t="s">
        <x:v>11</x:v>
      </x:c>
      <x:c r="E1163" t="s">
        <x:v>266</x:v>
      </x:c>
      <x:c r="F1163" t="s">
        <x:v>33</x:v>
      </x:c>
      <x:c r="G1163" t="s">
        <x:v>14</x:v>
      </x:c>
      <x:c r="I1163" t="s">
        <x:v>87</x:v>
      </x:c>
    </x:row>
    <x:row r="1164">
      <x:c r="A1164" t="s">
        <x:v>18</x:v>
      </x:c>
      <x:c r="B1164">
        <x:v>6.4871236681938102E-2</x:v>
      </x:c>
      <x:c r="C1164" t="s">
        <x:v>10</x:v>
      </x:c>
      <x:c r="D1164" t="s">
        <x:v>11</x:v>
      </x:c>
      <x:c r="E1164" t="s">
        <x:v>266</x:v>
      </x:c>
      <x:c r="F1164" t="s">
        <x:v>33</x:v>
      </x:c>
      <x:c r="G1164" t="s">
        <x:v>14</x:v>
      </x:c>
      <x:c r="I1164" t="s">
        <x:v>87</x:v>
      </x:c>
    </x:row>
    <x:row r="1165">
      <x:c r="A1165" t="s">
        <x:v>19</x:v>
      </x:c>
      <x:c r="B1165">
        <x:v>0.25469832485106397</x:v>
      </x:c>
      <x:c r="C1165" t="s">
        <x:v>10</x:v>
      </x:c>
      <x:c r="D1165" t="s">
        <x:v>11</x:v>
      </x:c>
      <x:c r="E1165" t="s">
        <x:v>266</x:v>
      </x:c>
      <x:c r="F1165" t="s">
        <x:v>33</x:v>
      </x:c>
      <x:c r="G1165" t="s">
        <x:v>14</x:v>
      </x:c>
      <x:c r="I1165" t="s">
        <x:v>87</x:v>
      </x:c>
    </x:row>
    <x:row r="1166">
      <x:c r="A1166" t="s">
        <x:v>20</x:v>
      </x:c>
      <x:c r="B1166">
        <x:v>78881293860864</x:v>
      </x:c>
      <x:c r="C1166" t="s">
        <x:v>10</x:v>
      </x:c>
      <x:c r="D1166" t="s">
        <x:v>11</x:v>
      </x:c>
      <x:c r="E1166" t="s">
        <x:v>266</x:v>
      </x:c>
      <x:c r="F1166" t="s">
        <x:v>33</x:v>
      </x:c>
      <x:c r="G1166" t="s">
        <x:v>14</x:v>
      </x:c>
      <x:c r="I1166" t="s">
        <x:v>87</x:v>
      </x:c>
    </x:row>
    <x:row r="1167">
      <x:c r="A1167" t="s">
        <x:v>9</x:v>
      </x:c>
      <x:c r="B1167">
        <x:v>0.93252790700848798</x:v>
      </x:c>
      <x:c r="C1167" t="s">
        <x:v>10</x:v>
      </x:c>
      <x:c r="D1167" t="s">
        <x:v>21</x:v>
      </x:c>
      <x:c r="E1167" t="s">
        <x:v>267</x:v>
      </x:c>
      <x:c r="F1167" t="s">
        <x:v>33</x:v>
      </x:c>
      <x:c r="G1167" t="s">
        <x:v>14</x:v>
      </x:c>
      <x:c r="I1167" t="s">
        <x:v>87</x:v>
      </x:c>
    </x:row>
    <x:row r="1168">
      <x:c r="A1168" t="s">
        <x:v>17</x:v>
      </x:c>
      <x:c r="B1168">
        <x:v>0.17881688475608801</x:v>
      </x:c>
      <x:c r="C1168" t="s">
        <x:v>10</x:v>
      </x:c>
      <x:c r="D1168" t="s">
        <x:v>21</x:v>
      </x:c>
      <x:c r="E1168" t="s">
        <x:v>267</x:v>
      </x:c>
      <x:c r="F1168" t="s">
        <x:v>33</x:v>
      </x:c>
      <x:c r="G1168" t="s">
        <x:v>14</x:v>
      </x:c>
      <x:c r="I1168" t="s">
        <x:v>87</x:v>
      </x:c>
    </x:row>
    <x:row r="1169">
      <x:c r="A1169" t="s">
        <x:v>18</x:v>
      </x:c>
      <x:c r="B1169">
        <x:v>6.4871236681938102E-2</x:v>
      </x:c>
      <x:c r="C1169" t="s">
        <x:v>10</x:v>
      </x:c>
      <x:c r="D1169" t="s">
        <x:v>21</x:v>
      </x:c>
      <x:c r="E1169" t="s">
        <x:v>267</x:v>
      </x:c>
      <x:c r="F1169" t="s">
        <x:v>33</x:v>
      </x:c>
      <x:c r="G1169" t="s">
        <x:v>14</x:v>
      </x:c>
      <x:c r="I1169" t="s">
        <x:v>87</x:v>
      </x:c>
    </x:row>
    <x:row r="1170">
      <x:c r="A1170" t="s">
        <x:v>19</x:v>
      </x:c>
      <x:c r="B1170">
        <x:v>0.25469832485106397</x:v>
      </x:c>
      <x:c r="C1170" t="s">
        <x:v>10</x:v>
      </x:c>
      <x:c r="D1170" t="s">
        <x:v>21</x:v>
      </x:c>
      <x:c r="E1170" t="s">
        <x:v>267</x:v>
      </x:c>
      <x:c r="F1170" t="s">
        <x:v>33</x:v>
      </x:c>
      <x:c r="G1170" t="s">
        <x:v>14</x:v>
      </x:c>
      <x:c r="I1170" t="s">
        <x:v>87</x:v>
      </x:c>
    </x:row>
    <x:row r="1171">
      <x:c r="A1171" t="s">
        <x:v>20</x:v>
      </x:c>
      <x:c r="B1171">
        <x:v>78881293860864</x:v>
      </x:c>
      <x:c r="C1171" t="s">
        <x:v>10</x:v>
      </x:c>
      <x:c r="D1171" t="s">
        <x:v>21</x:v>
      </x:c>
      <x:c r="E1171" t="s">
        <x:v>267</x:v>
      </x:c>
      <x:c r="F1171" t="s">
        <x:v>33</x:v>
      </x:c>
      <x:c r="G1171" t="s">
        <x:v>14</x:v>
      </x:c>
      <x:c r="I1171" t="s">
        <x:v>87</x:v>
      </x:c>
    </x:row>
    <x:row r="1172">
      <x:c r="A1172" t="s">
        <x:v>9</x:v>
      </x:c>
      <x:c r="B1172">
        <x:v>0.92809127409493897</x:v>
      </x:c>
      <x:c r="C1172" t="s">
        <x:v>23</x:v>
      </x:c>
      <x:c r="D1172" t="s">
        <x:v>21</x:v>
      </x:c>
      <x:c r="E1172" t="s">
        <x:v>268</x:v>
      </x:c>
      <x:c r="F1172" t="s">
        <x:v>33</x:v>
      </x:c>
      <x:c r="G1172" t="s">
        <x:v>14</x:v>
      </x:c>
      <x:c r="I1172" t="s">
        <x:v>87</x:v>
      </x:c>
    </x:row>
    <x:row r="1173">
      <x:c r="A1173" t="s">
        <x:v>17</x:v>
      </x:c>
      <x:c r="B1173">
        <x:v>0.23202961683273299</x:v>
      </x:c>
      <x:c r="C1173" t="s">
        <x:v>23</x:v>
      </x:c>
      <x:c r="D1173" t="s">
        <x:v>21</x:v>
      </x:c>
      <x:c r="E1173" t="s">
        <x:v>268</x:v>
      </x:c>
      <x:c r="F1173" t="s">
        <x:v>33</x:v>
      </x:c>
      <x:c r="G1173" t="s">
        <x:v>14</x:v>
      </x:c>
      <x:c r="I1173" t="s">
        <x:v>87</x:v>
      </x:c>
    </x:row>
    <x:row r="1174">
      <x:c r="A1174" t="s">
        <x:v>18</x:v>
      </x:c>
      <x:c r="B1174">
        <x:v>0.165295585989952</x:v>
      </x:c>
      <x:c r="C1174" t="s">
        <x:v>23</x:v>
      </x:c>
      <x:c r="D1174" t="s">
        <x:v>21</x:v>
      </x:c>
      <x:c r="E1174" t="s">
        <x:v>268</x:v>
      </x:c>
      <x:c r="F1174" t="s">
        <x:v>33</x:v>
      </x:c>
      <x:c r="G1174" t="s">
        <x:v>14</x:v>
      </x:c>
      <x:c r="I1174" t="s">
        <x:v>87</x:v>
      </x:c>
    </x:row>
    <x:row r="1175">
      <x:c r="A1175" t="s">
        <x:v>19</x:v>
      </x:c>
      <x:c r="B1175">
        <x:v>0.40656559863071501</x:v>
      </x:c>
      <x:c r="C1175" t="s">
        <x:v>23</x:v>
      </x:c>
      <x:c r="D1175" t="s">
        <x:v>21</x:v>
      </x:c>
      <x:c r="E1175" t="s">
        <x:v>268</x:v>
      </x:c>
      <x:c r="F1175" t="s">
        <x:v>33</x:v>
      </x:c>
      <x:c r="G1175" t="s">
        <x:v>14</x:v>
      </x:c>
      <x:c r="I1175" t="s">
        <x:v>87</x:v>
      </x:c>
    </x:row>
    <x:row r="1176">
      <x:c r="A1176" t="s">
        <x:v>20</x:v>
      </x:c>
      <x:c r="B1176">
        <x:v>193641737879552</x:v>
      </x:c>
      <x:c r="C1176" t="s">
        <x:v>23</x:v>
      </x:c>
      <x:c r="D1176" t="s">
        <x:v>21</x:v>
      </x:c>
      <x:c r="E1176" t="s">
        <x:v>268</x:v>
      </x:c>
      <x:c r="F1176" t="s">
        <x:v>33</x:v>
      </x:c>
      <x:c r="G1176" t="s">
        <x:v>14</x:v>
      </x:c>
      <x:c r="I1176" t="s">
        <x:v>87</x:v>
      </x:c>
    </x:row>
    <x:row r="1177">
      <x:c r="A1177" t="s">
        <x:v>9</x:v>
      </x:c>
      <x:c r="B1177">
        <x:v>0.92809127409493897</x:v>
      </x:c>
      <x:c r="C1177" t="s">
        <x:v>23</x:v>
      </x:c>
      <x:c r="D1177" t="s">
        <x:v>11</x:v>
      </x:c>
      <x:c r="E1177" t="s">
        <x:v>269</x:v>
      </x:c>
      <x:c r="F1177" t="s">
        <x:v>33</x:v>
      </x:c>
      <x:c r="G1177" t="s">
        <x:v>14</x:v>
      </x:c>
      <x:c r="I1177" t="s">
        <x:v>87</x:v>
      </x:c>
    </x:row>
    <x:row r="1178">
      <x:c r="A1178" t="s">
        <x:v>17</x:v>
      </x:c>
      <x:c r="B1178">
        <x:v>0.23202961683273299</x:v>
      </x:c>
      <x:c r="C1178" t="s">
        <x:v>23</x:v>
      </x:c>
      <x:c r="D1178" t="s">
        <x:v>11</x:v>
      </x:c>
      <x:c r="E1178" t="s">
        <x:v>269</x:v>
      </x:c>
      <x:c r="F1178" t="s">
        <x:v>33</x:v>
      </x:c>
      <x:c r="G1178" t="s">
        <x:v>14</x:v>
      </x:c>
      <x:c r="I1178" t="s">
        <x:v>87</x:v>
      </x:c>
    </x:row>
    <x:row r="1179">
      <x:c r="A1179" t="s">
        <x:v>18</x:v>
      </x:c>
      <x:c r="B1179">
        <x:v>0.165295585989952</x:v>
      </x:c>
      <x:c r="C1179" t="s">
        <x:v>23</x:v>
      </x:c>
      <x:c r="D1179" t="s">
        <x:v>11</x:v>
      </x:c>
      <x:c r="E1179" t="s">
        <x:v>269</x:v>
      </x:c>
      <x:c r="F1179" t="s">
        <x:v>33</x:v>
      </x:c>
      <x:c r="G1179" t="s">
        <x:v>14</x:v>
      </x:c>
      <x:c r="I1179" t="s">
        <x:v>87</x:v>
      </x:c>
    </x:row>
    <x:row r="1180">
      <x:c r="A1180" t="s">
        <x:v>19</x:v>
      </x:c>
      <x:c r="B1180">
        <x:v>0.40656559863071501</x:v>
      </x:c>
      <x:c r="C1180" t="s">
        <x:v>23</x:v>
      </x:c>
      <x:c r="D1180" t="s">
        <x:v>11</x:v>
      </x:c>
      <x:c r="E1180" t="s">
        <x:v>269</x:v>
      </x:c>
      <x:c r="F1180" t="s">
        <x:v>33</x:v>
      </x:c>
      <x:c r="G1180" t="s">
        <x:v>14</x:v>
      </x:c>
      <x:c r="I1180" t="s">
        <x:v>87</x:v>
      </x:c>
    </x:row>
    <x:row r="1181">
      <x:c r="A1181" t="s">
        <x:v>20</x:v>
      </x:c>
      <x:c r="B1181">
        <x:v>193641737879552</x:v>
      </x:c>
      <x:c r="C1181" t="s">
        <x:v>23</x:v>
      </x:c>
      <x:c r="D1181" t="s">
        <x:v>11</x:v>
      </x:c>
      <x:c r="E1181" t="s">
        <x:v>269</x:v>
      </x:c>
      <x:c r="F1181" t="s">
        <x:v>33</x:v>
      </x:c>
      <x:c r="G1181" t="s">
        <x:v>14</x:v>
      </x:c>
      <x:c r="I1181" t="s">
        <x:v>87</x:v>
      </x:c>
    </x:row>
    <x:row r="1182">
      <x:c r="A1182" t="s">
        <x:v>9</x:v>
      </x:c>
      <x:c r="B1182">
        <x:v>0.95815386617794895</x:v>
      </x:c>
      <x:c r="C1182" t="s">
        <x:v>10</x:v>
      </x:c>
      <x:c r="D1182" t="s">
        <x:v>11</x:v>
      </x:c>
      <x:c r="E1182" t="s">
        <x:v>270</x:v>
      </x:c>
      <x:c r="F1182" t="s">
        <x:v>33</x:v>
      </x:c>
      <x:c r="G1182" t="s">
        <x:v>27</x:v>
      </x:c>
      <x:c r="H1182" t="s">
        <x:v>34</x:v>
      </x:c>
      <x:c r="I1182" t="s">
        <x:v>16</x:v>
      </x:c>
    </x:row>
    <x:row r="1183">
      <x:c r="A1183" t="s">
        <x:v>17</x:v>
      </x:c>
      <x:c r="B1183">
        <x:v>5.94971664249897E-2</x:v>
      </x:c>
      <x:c r="C1183" t="s">
        <x:v>10</x:v>
      </x:c>
      <x:c r="D1183" t="s">
        <x:v>11</x:v>
      </x:c>
      <x:c r="E1183" t="s">
        <x:v>270</x:v>
      </x:c>
      <x:c r="F1183" t="s">
        <x:v>33</x:v>
      </x:c>
      <x:c r="G1183" t="s">
        <x:v>27</x:v>
      </x:c>
      <x:c r="H1183" t="s">
        <x:v>34</x:v>
      </x:c>
      <x:c r="I1183" t="s">
        <x:v>16</x:v>
      </x:c>
    </x:row>
    <x:row r="1184">
      <x:c r="A1184" t="s">
        <x:v>18</x:v>
      </x:c>
      <x:c r="B1184">
        <x:v>1.6694566234946199E-2</x:v>
      </x:c>
      <x:c r="C1184" t="s">
        <x:v>10</x:v>
      </x:c>
      <x:c r="D1184" t="s">
        <x:v>11</x:v>
      </x:c>
      <x:c r="E1184" t="s">
        <x:v>270</x:v>
      </x:c>
      <x:c r="F1184" t="s">
        <x:v>33</x:v>
      </x:c>
      <x:c r="G1184" t="s">
        <x:v>27</x:v>
      </x:c>
      <x:c r="H1184" t="s">
        <x:v>34</x:v>
      </x:c>
      <x:c r="I1184" t="s">
        <x:v>16</x:v>
      </x:c>
    </x:row>
    <x:row r="1185">
      <x:c r="A1185" t="s">
        <x:v>19</x:v>
      </x:c>
      <x:c r="B1185">
        <x:v>0.12920745425456701</x:v>
      </x:c>
      <x:c r="C1185" t="s">
        <x:v>10</x:v>
      </x:c>
      <x:c r="D1185" t="s">
        <x:v>11</x:v>
      </x:c>
      <x:c r="E1185" t="s">
        <x:v>270</x:v>
      </x:c>
      <x:c r="F1185" t="s">
        <x:v>33</x:v>
      </x:c>
      <x:c r="G1185" t="s">
        <x:v>27</x:v>
      </x:c>
      <x:c r="H1185" t="s">
        <x:v>34</x:v>
      </x:c>
      <x:c r="I1185" t="s">
        <x:v>16</x:v>
      </x:c>
    </x:row>
    <x:row r="1186">
      <x:c r="A1186" t="s">
        <x:v>20</x:v>
      </x:c>
      <x:c r="B1186">
        <x:v>31693054410752</x:v>
      </x:c>
      <x:c r="C1186" t="s">
        <x:v>10</x:v>
      </x:c>
      <x:c r="D1186" t="s">
        <x:v>11</x:v>
      </x:c>
      <x:c r="E1186" t="s">
        <x:v>270</x:v>
      </x:c>
      <x:c r="F1186" t="s">
        <x:v>33</x:v>
      </x:c>
      <x:c r="G1186" t="s">
        <x:v>27</x:v>
      </x:c>
      <x:c r="H1186" t="s">
        <x:v>34</x:v>
      </x:c>
      <x:c r="I1186" t="s">
        <x:v>16</x:v>
      </x:c>
    </x:row>
    <x:row r="1187">
      <x:c r="A1187" t="s">
        <x:v>9</x:v>
      </x:c>
      <x:c r="B1187">
        <x:v>0.95815386617794895</x:v>
      </x:c>
      <x:c r="C1187" t="s">
        <x:v>10</x:v>
      </x:c>
      <x:c r="D1187" t="s">
        <x:v>21</x:v>
      </x:c>
      <x:c r="E1187" t="s">
        <x:v>271</x:v>
      </x:c>
      <x:c r="F1187" t="s">
        <x:v>33</x:v>
      </x:c>
      <x:c r="G1187" t="s">
        <x:v>27</x:v>
      </x:c>
      <x:c r="H1187" t="s">
        <x:v>34</x:v>
      </x:c>
      <x:c r="I1187" t="s">
        <x:v>16</x:v>
      </x:c>
    </x:row>
    <x:row r="1188">
      <x:c r="A1188" t="s">
        <x:v>17</x:v>
      </x:c>
      <x:c r="B1188">
        <x:v>5.94971664249897E-2</x:v>
      </x:c>
      <x:c r="C1188" t="s">
        <x:v>10</x:v>
      </x:c>
      <x:c r="D1188" t="s">
        <x:v>21</x:v>
      </x:c>
      <x:c r="E1188" t="s">
        <x:v>271</x:v>
      </x:c>
      <x:c r="F1188" t="s">
        <x:v>33</x:v>
      </x:c>
      <x:c r="G1188" t="s">
        <x:v>27</x:v>
      </x:c>
      <x:c r="H1188" t="s">
        <x:v>34</x:v>
      </x:c>
      <x:c r="I1188" t="s">
        <x:v>16</x:v>
      </x:c>
    </x:row>
    <x:row r="1189">
      <x:c r="A1189" t="s">
        <x:v>18</x:v>
      </x:c>
      <x:c r="B1189">
        <x:v>1.6694566234946199E-2</x:v>
      </x:c>
      <x:c r="C1189" t="s">
        <x:v>10</x:v>
      </x:c>
      <x:c r="D1189" t="s">
        <x:v>21</x:v>
      </x:c>
      <x:c r="E1189" t="s">
        <x:v>271</x:v>
      </x:c>
      <x:c r="F1189" t="s">
        <x:v>33</x:v>
      </x:c>
      <x:c r="G1189" t="s">
        <x:v>27</x:v>
      </x:c>
      <x:c r="H1189" t="s">
        <x:v>34</x:v>
      </x:c>
      <x:c r="I1189" t="s">
        <x:v>16</x:v>
      </x:c>
    </x:row>
    <x:row r="1190">
      <x:c r="A1190" t="s">
        <x:v>19</x:v>
      </x:c>
      <x:c r="B1190">
        <x:v>0.12920745425456701</x:v>
      </x:c>
      <x:c r="C1190" t="s">
        <x:v>10</x:v>
      </x:c>
      <x:c r="D1190" t="s">
        <x:v>21</x:v>
      </x:c>
      <x:c r="E1190" t="s">
        <x:v>271</x:v>
      </x:c>
      <x:c r="F1190" t="s">
        <x:v>33</x:v>
      </x:c>
      <x:c r="G1190" t="s">
        <x:v>27</x:v>
      </x:c>
      <x:c r="H1190" t="s">
        <x:v>34</x:v>
      </x:c>
      <x:c r="I1190" t="s">
        <x:v>16</x:v>
      </x:c>
    </x:row>
    <x:row r="1191">
      <x:c r="A1191" t="s">
        <x:v>20</x:v>
      </x:c>
      <x:c r="B1191">
        <x:v>31693054410752</x:v>
      </x:c>
      <x:c r="C1191" t="s">
        <x:v>10</x:v>
      </x:c>
      <x:c r="D1191" t="s">
        <x:v>21</x:v>
      </x:c>
      <x:c r="E1191" t="s">
        <x:v>271</x:v>
      </x:c>
      <x:c r="F1191" t="s">
        <x:v>33</x:v>
      </x:c>
      <x:c r="G1191" t="s">
        <x:v>27</x:v>
      </x:c>
      <x:c r="H1191" t="s">
        <x:v>34</x:v>
      </x:c>
      <x:c r="I1191" t="s">
        <x:v>16</x:v>
      </x:c>
    </x:row>
    <x:row r="1192">
      <x:c r="A1192" t="s">
        <x:v>9</x:v>
      </x:c>
      <x:c r="B1192">
        <x:v>0.88969371082955095</x:v>
      </x:c>
      <x:c r="C1192" t="s">
        <x:v>23</x:v>
      </x:c>
      <x:c r="D1192" t="s">
        <x:v>21</x:v>
      </x:c>
      <x:c r="E1192" t="s">
        <x:v>272</x:v>
      </x:c>
      <x:c r="F1192" t="s">
        <x:v>33</x:v>
      </x:c>
      <x:c r="G1192" t="s">
        <x:v>27</x:v>
      </x:c>
      <x:c r="H1192" t="s">
        <x:v>34</x:v>
      </x:c>
      <x:c r="I1192" t="s">
        <x:v>16</x:v>
      </x:c>
    </x:row>
    <x:row r="1193">
      <x:c r="A1193" t="s">
        <x:v>17</x:v>
      </x:c>
      <x:c r="B1193">
        <x:v>0.341910660266876</x:v>
      </x:c>
      <x:c r="C1193" t="s">
        <x:v>23</x:v>
      </x:c>
      <x:c r="D1193" t="s">
        <x:v>21</x:v>
      </x:c>
      <x:c r="E1193" t="s">
        <x:v>272</x:v>
      </x:c>
      <x:c r="F1193" t="s">
        <x:v>33</x:v>
      </x:c>
      <x:c r="G1193" t="s">
        <x:v>27</x:v>
      </x:c>
      <x:c r="H1193" t="s">
        <x:v>34</x:v>
      </x:c>
      <x:c r="I1193" t="s">
        <x:v>16</x:v>
      </x:c>
    </x:row>
    <x:row r="1194">
      <x:c r="A1194" t="s">
        <x:v>18</x:v>
      </x:c>
      <x:c r="B1194">
        <x:v>0.253755152225494</x:v>
      </x:c>
      <x:c r="C1194" t="s">
        <x:v>23</x:v>
      </x:c>
      <x:c r="D1194" t="s">
        <x:v>21</x:v>
      </x:c>
      <x:c r="E1194" t="s">
        <x:v>272</x:v>
      </x:c>
      <x:c r="F1194" t="s">
        <x:v>33</x:v>
      </x:c>
      <x:c r="G1194" t="s">
        <x:v>27</x:v>
      </x:c>
      <x:c r="H1194" t="s">
        <x:v>34</x:v>
      </x:c>
      <x:c r="I1194" t="s">
        <x:v>16</x:v>
      </x:c>
    </x:row>
    <x:row r="1195">
      <x:c r="A1195" t="s">
        <x:v>19</x:v>
      </x:c>
      <x:c r="B1195">
        <x:v>0.50374115597744595</x:v>
      </x:c>
      <x:c r="C1195" t="s">
        <x:v>23</x:v>
      </x:c>
      <x:c r="D1195" t="s">
        <x:v>21</x:v>
      </x:c>
      <x:c r="E1195" t="s">
        <x:v>272</x:v>
      </x:c>
      <x:c r="F1195" t="s">
        <x:v>33</x:v>
      </x:c>
      <x:c r="G1195" t="s">
        <x:v>27</x:v>
      </x:c>
      <x:c r="H1195" t="s">
        <x:v>34</x:v>
      </x:c>
      <x:c r="I1195" t="s">
        <x:v>16</x:v>
      </x:c>
    </x:row>
    <x:row r="1196">
      <x:c r="A1196" t="s">
        <x:v>20</x:v>
      </x:c>
      <x:c r="B1196">
        <x:v>279432921088000</x:v>
      </x:c>
      <x:c r="C1196" t="s">
        <x:v>23</x:v>
      </x:c>
      <x:c r="D1196" t="s">
        <x:v>21</x:v>
      </x:c>
      <x:c r="E1196" t="s">
        <x:v>272</x:v>
      </x:c>
      <x:c r="F1196" t="s">
        <x:v>33</x:v>
      </x:c>
      <x:c r="G1196" t="s">
        <x:v>27</x:v>
      </x:c>
      <x:c r="H1196" t="s">
        <x:v>34</x:v>
      </x:c>
      <x:c r="I1196" t="s">
        <x:v>16</x:v>
      </x:c>
    </x:row>
    <x:row r="1197">
      <x:c r="A1197" t="s">
        <x:v>9</x:v>
      </x:c>
      <x:c r="B1197">
        <x:v>0.88969371082955095</x:v>
      </x:c>
      <x:c r="C1197" t="s">
        <x:v>23</x:v>
      </x:c>
      <x:c r="D1197" t="s">
        <x:v>11</x:v>
      </x:c>
      <x:c r="E1197" t="s">
        <x:v>273</x:v>
      </x:c>
      <x:c r="F1197" t="s">
        <x:v>33</x:v>
      </x:c>
      <x:c r="G1197" t="s">
        <x:v>27</x:v>
      </x:c>
      <x:c r="H1197" t="s">
        <x:v>34</x:v>
      </x:c>
      <x:c r="I1197" t="s">
        <x:v>16</x:v>
      </x:c>
    </x:row>
    <x:row r="1198">
      <x:c r="A1198" t="s">
        <x:v>17</x:v>
      </x:c>
      <x:c r="B1198">
        <x:v>0.341910660266876</x:v>
      </x:c>
      <x:c r="C1198" t="s">
        <x:v>23</x:v>
      </x:c>
      <x:c r="D1198" t="s">
        <x:v>11</x:v>
      </x:c>
      <x:c r="E1198" t="s">
        <x:v>273</x:v>
      </x:c>
      <x:c r="F1198" t="s">
        <x:v>33</x:v>
      </x:c>
      <x:c r="G1198" t="s">
        <x:v>27</x:v>
      </x:c>
      <x:c r="H1198" t="s">
        <x:v>34</x:v>
      </x:c>
      <x:c r="I1198" t="s">
        <x:v>16</x:v>
      </x:c>
    </x:row>
    <x:row r="1199">
      <x:c r="A1199" t="s">
        <x:v>18</x:v>
      </x:c>
      <x:c r="B1199">
        <x:v>0.253755152225494</x:v>
      </x:c>
      <x:c r="C1199" t="s">
        <x:v>23</x:v>
      </x:c>
      <x:c r="D1199" t="s">
        <x:v>11</x:v>
      </x:c>
      <x:c r="E1199" t="s">
        <x:v>273</x:v>
      </x:c>
      <x:c r="F1199" t="s">
        <x:v>33</x:v>
      </x:c>
      <x:c r="G1199" t="s">
        <x:v>27</x:v>
      </x:c>
      <x:c r="H1199" t="s">
        <x:v>34</x:v>
      </x:c>
      <x:c r="I1199" t="s">
        <x:v>16</x:v>
      </x:c>
    </x:row>
    <x:row r="1200">
      <x:c r="A1200" t="s">
        <x:v>19</x:v>
      </x:c>
      <x:c r="B1200">
        <x:v>0.50374115597744595</x:v>
      </x:c>
      <x:c r="C1200" t="s">
        <x:v>23</x:v>
      </x:c>
      <x:c r="D1200" t="s">
        <x:v>11</x:v>
      </x:c>
      <x:c r="E1200" t="s">
        <x:v>273</x:v>
      </x:c>
      <x:c r="F1200" t="s">
        <x:v>33</x:v>
      </x:c>
      <x:c r="G1200" t="s">
        <x:v>27</x:v>
      </x:c>
      <x:c r="H1200" t="s">
        <x:v>34</x:v>
      </x:c>
      <x:c r="I1200" t="s">
        <x:v>16</x:v>
      </x:c>
    </x:row>
    <x:row r="1201">
      <x:c r="A1201" t="s">
        <x:v>20</x:v>
      </x:c>
      <x:c r="B1201">
        <x:v>279432921088000</x:v>
      </x:c>
      <x:c r="C1201" t="s">
        <x:v>23</x:v>
      </x:c>
      <x:c r="D1201" t="s">
        <x:v>11</x:v>
      </x:c>
      <x:c r="E1201" t="s">
        <x:v>273</x:v>
      </x:c>
      <x:c r="F1201" t="s">
        <x:v>33</x:v>
      </x:c>
      <x:c r="G1201" t="s">
        <x:v>27</x:v>
      </x:c>
      <x:c r="H1201" t="s">
        <x:v>34</x:v>
      </x:c>
      <x:c r="I1201" t="s">
        <x:v>16</x:v>
      </x:c>
    </x:row>
    <x:row r="1202">
      <x:c r="A1202" t="s">
        <x:v>9</x:v>
      </x:c>
      <x:c r="B1202">
        <x:v>0.83846400543122002</x:v>
      </x:c>
      <x:c r="C1202" t="s">
        <x:v>10</x:v>
      </x:c>
      <x:c r="D1202" t="s">
        <x:v>11</x:v>
      </x:c>
      <x:c r="E1202" t="s">
        <x:v>274</x:v>
      </x:c>
      <x:c r="F1202" t="s">
        <x:v>33</x:v>
      </x:c>
      <x:c r="G1202" t="s">
        <x:v>14</x:v>
      </x:c>
      <x:c r="H1202" t="s">
        <x:v>34</x:v>
      </x:c>
      <x:c r="I1202" t="s">
        <x:v>40</x:v>
      </x:c>
    </x:row>
    <x:row r="1203">
      <x:c r="A1203" t="s">
        <x:v>17</x:v>
      </x:c>
      <x:c r="B1203">
        <x:v>0.80140376091003396</x:v>
      </x:c>
      <x:c r="C1203" t="s">
        <x:v>10</x:v>
      </x:c>
      <x:c r="D1203" t="s">
        <x:v>11</x:v>
      </x:c>
      <x:c r="E1203" t="s">
        <x:v>274</x:v>
      </x:c>
      <x:c r="F1203" t="s">
        <x:v>33</x:v>
      </x:c>
      <x:c r="G1203" t="s">
        <x:v>14</x:v>
      </x:c>
      <x:c r="H1203" t="s">
        <x:v>34</x:v>
      </x:c>
      <x:c r="I1203" t="s">
        <x:v>40</x:v>
      </x:c>
    </x:row>
    <x:row r="1204">
      <x:c r="A1204" t="s">
        <x:v>18</x:v>
      </x:c>
      <x:c r="B1204">
        <x:v>1.1735106706619201</x:v>
      </x:c>
      <x:c r="C1204" t="s">
        <x:v>10</x:v>
      </x:c>
      <x:c r="D1204" t="s">
        <x:v>11</x:v>
      </x:c>
      <x:c r="E1204" t="s">
        <x:v>274</x:v>
      </x:c>
      <x:c r="F1204" t="s">
        <x:v>33</x:v>
      </x:c>
      <x:c r="G1204" t="s">
        <x:v>14</x:v>
      </x:c>
      <x:c r="H1204" t="s">
        <x:v>34</x:v>
      </x:c>
      <x:c r="I1204" t="s">
        <x:v>40</x:v>
      </x:c>
    </x:row>
    <x:row r="1205">
      <x:c r="A1205" t="s">
        <x:v>19</x:v>
      </x:c>
      <x:c r="B1205">
        <x:v>1.0832869752110501</x:v>
      </x:c>
      <x:c r="C1205" t="s">
        <x:v>10</x:v>
      </x:c>
      <x:c r="D1205" t="s">
        <x:v>11</x:v>
      </x:c>
      <x:c r="E1205" t="s">
        <x:v>274</x:v>
      </x:c>
      <x:c r="F1205" t="s">
        <x:v>33</x:v>
      </x:c>
      <x:c r="G1205" t="s">
        <x:v>14</x:v>
      </x:c>
      <x:c r="H1205" t="s">
        <x:v>34</x:v>
      </x:c>
      <x:c r="I1205" t="s">
        <x:v>40</x:v>
      </x:c>
    </x:row>
    <x:row r="1206">
      <x:c r="A1206" t="s">
        <x:v>20</x:v>
      </x:c>
      <x:c r="B1206">
        <x:v>19668645445632</x:v>
      </x:c>
      <x:c r="C1206" t="s">
        <x:v>10</x:v>
      </x:c>
      <x:c r="D1206" t="s">
        <x:v>11</x:v>
      </x:c>
      <x:c r="E1206" t="s">
        <x:v>274</x:v>
      </x:c>
      <x:c r="F1206" t="s">
        <x:v>33</x:v>
      </x:c>
      <x:c r="G1206" t="s">
        <x:v>14</x:v>
      </x:c>
      <x:c r="H1206" t="s">
        <x:v>34</x:v>
      </x:c>
      <x:c r="I1206" t="s">
        <x:v>40</x:v>
      </x:c>
    </x:row>
    <x:row r="1207">
      <x:c r="A1207" t="s">
        <x:v>9</x:v>
      </x:c>
      <x:c r="B1207">
        <x:v>0.83846400543122002</x:v>
      </x:c>
      <x:c r="C1207" t="s">
        <x:v>10</x:v>
      </x:c>
      <x:c r="D1207" t="s">
        <x:v>21</x:v>
      </x:c>
      <x:c r="E1207" t="s">
        <x:v>275</x:v>
      </x:c>
      <x:c r="F1207" t="s">
        <x:v>33</x:v>
      </x:c>
      <x:c r="G1207" t="s">
        <x:v>14</x:v>
      </x:c>
      <x:c r="H1207" t="s">
        <x:v>34</x:v>
      </x:c>
      <x:c r="I1207" t="s">
        <x:v>40</x:v>
      </x:c>
    </x:row>
    <x:row r="1208">
      <x:c r="A1208" t="s">
        <x:v>17</x:v>
      </x:c>
      <x:c r="B1208">
        <x:v>0.80140376091003396</x:v>
      </x:c>
      <x:c r="C1208" t="s">
        <x:v>10</x:v>
      </x:c>
      <x:c r="D1208" t="s">
        <x:v>21</x:v>
      </x:c>
      <x:c r="E1208" t="s">
        <x:v>275</x:v>
      </x:c>
      <x:c r="F1208" t="s">
        <x:v>33</x:v>
      </x:c>
      <x:c r="G1208" t="s">
        <x:v>14</x:v>
      </x:c>
      <x:c r="H1208" t="s">
        <x:v>34</x:v>
      </x:c>
      <x:c r="I1208" t="s">
        <x:v>40</x:v>
      </x:c>
    </x:row>
    <x:row r="1209">
      <x:c r="A1209" t="s">
        <x:v>18</x:v>
      </x:c>
      <x:c r="B1209">
        <x:v>1.1735106706619201</x:v>
      </x:c>
      <x:c r="C1209" t="s">
        <x:v>10</x:v>
      </x:c>
      <x:c r="D1209" t="s">
        <x:v>21</x:v>
      </x:c>
      <x:c r="E1209" t="s">
        <x:v>275</x:v>
      </x:c>
      <x:c r="F1209" t="s">
        <x:v>33</x:v>
      </x:c>
      <x:c r="G1209" t="s">
        <x:v>14</x:v>
      </x:c>
      <x:c r="H1209" t="s">
        <x:v>34</x:v>
      </x:c>
      <x:c r="I1209" t="s">
        <x:v>40</x:v>
      </x:c>
    </x:row>
    <x:row r="1210">
      <x:c r="A1210" t="s">
        <x:v>19</x:v>
      </x:c>
      <x:c r="B1210">
        <x:v>1.0832869752110501</x:v>
      </x:c>
      <x:c r="C1210" t="s">
        <x:v>10</x:v>
      </x:c>
      <x:c r="D1210" t="s">
        <x:v>21</x:v>
      </x:c>
      <x:c r="E1210" t="s">
        <x:v>275</x:v>
      </x:c>
      <x:c r="F1210" t="s">
        <x:v>33</x:v>
      </x:c>
      <x:c r="G1210" t="s">
        <x:v>14</x:v>
      </x:c>
      <x:c r="H1210" t="s">
        <x:v>34</x:v>
      </x:c>
      <x:c r="I1210" t="s">
        <x:v>40</x:v>
      </x:c>
    </x:row>
    <x:row r="1211">
      <x:c r="A1211" t="s">
        <x:v>20</x:v>
      </x:c>
      <x:c r="B1211">
        <x:v>19668645445632</x:v>
      </x:c>
      <x:c r="C1211" t="s">
        <x:v>10</x:v>
      </x:c>
      <x:c r="D1211" t="s">
        <x:v>21</x:v>
      </x:c>
      <x:c r="E1211" t="s">
        <x:v>275</x:v>
      </x:c>
      <x:c r="F1211" t="s">
        <x:v>33</x:v>
      </x:c>
      <x:c r="G1211" t="s">
        <x:v>14</x:v>
      </x:c>
      <x:c r="H1211" t="s">
        <x:v>34</x:v>
      </x:c>
      <x:c r="I1211" t="s">
        <x:v>40</x:v>
      </x:c>
    </x:row>
    <x:row r="1212">
      <x:c r="A1212" t="s">
        <x:v>9</x:v>
      </x:c>
      <x:c r="B1212">
        <x:v>0.87048083346621696</x:v>
      </x:c>
      <x:c r="C1212" t="s">
        <x:v>23</x:v>
      </x:c>
      <x:c r="D1212" t="s">
        <x:v>21</x:v>
      </x:c>
      <x:c r="E1212" t="s">
        <x:v>276</x:v>
      </x:c>
      <x:c r="F1212" t="s">
        <x:v>33</x:v>
      </x:c>
      <x:c r="G1212" t="s">
        <x:v>14</x:v>
      </x:c>
      <x:c r="H1212" t="s">
        <x:v>34</x:v>
      </x:c>
      <x:c r="I1212" t="s">
        <x:v>40</x:v>
      </x:c>
    </x:row>
    <x:row r="1213">
      <x:c r="A1213" t="s">
        <x:v>17</x:v>
      </x:c>
      <x:c r="B1213">
        <x:v>0.40140345692634499</x:v>
      </x:c>
      <x:c r="C1213" t="s">
        <x:v>23</x:v>
      </x:c>
      <x:c r="D1213" t="s">
        <x:v>21</x:v>
      </x:c>
      <x:c r="E1213" t="s">
        <x:v>276</x:v>
      </x:c>
      <x:c r="F1213" t="s">
        <x:v>33</x:v>
      </x:c>
      <x:c r="G1213" t="s">
        <x:v>14</x:v>
      </x:c>
      <x:c r="H1213" t="s">
        <x:v>34</x:v>
      </x:c>
      <x:c r="I1213" t="s">
        <x:v>40</x:v>
      </x:c>
    </x:row>
    <x:row r="1214">
      <x:c r="A1214" t="s">
        <x:v>18</x:v>
      </x:c>
      <x:c r="B1214">
        <x:v>0.33044350147247298</x:v>
      </x:c>
      <x:c r="C1214" t="s">
        <x:v>23</x:v>
      </x:c>
      <x:c r="D1214" t="s">
        <x:v>21</x:v>
      </x:c>
      <x:c r="E1214" t="s">
        <x:v>276</x:v>
      </x:c>
      <x:c r="F1214" t="s">
        <x:v>33</x:v>
      </x:c>
      <x:c r="G1214" t="s">
        <x:v>14</x:v>
      </x:c>
      <x:c r="H1214" t="s">
        <x:v>34</x:v>
      </x:c>
      <x:c r="I1214" t="s">
        <x:v>40</x:v>
      </x:c>
    </x:row>
    <x:row r="1215">
      <x:c r="A1215" t="s">
        <x:v>19</x:v>
      </x:c>
      <x:c r="B1215">
        <x:v>0.574842153527795</x:v>
      </x:c>
      <x:c r="C1215" t="s">
        <x:v>23</x:v>
      </x:c>
      <x:c r="D1215" t="s">
        <x:v>21</x:v>
      </x:c>
      <x:c r="E1215" t="s">
        <x:v>276</x:v>
      </x:c>
      <x:c r="F1215" t="s">
        <x:v>33</x:v>
      </x:c>
      <x:c r="G1215" t="s">
        <x:v>14</x:v>
      </x:c>
      <x:c r="H1215" t="s">
        <x:v>34</x:v>
      </x:c>
      <x:c r="I1215" t="s">
        <x:v>40</x:v>
      </x:c>
    </x:row>
    <x:row r="1216">
      <x:c r="A1216" t="s">
        <x:v>20</x:v>
      </x:c>
      <x:c r="B1216">
        <x:v>265818210304000</x:v>
      </x:c>
      <x:c r="C1216" t="s">
        <x:v>23</x:v>
      </x:c>
      <x:c r="D1216" t="s">
        <x:v>21</x:v>
      </x:c>
      <x:c r="E1216" t="s">
        <x:v>276</x:v>
      </x:c>
      <x:c r="F1216" t="s">
        <x:v>33</x:v>
      </x:c>
      <x:c r="G1216" t="s">
        <x:v>14</x:v>
      </x:c>
      <x:c r="H1216" t="s">
        <x:v>34</x:v>
      </x:c>
      <x:c r="I1216" t="s">
        <x:v>40</x:v>
      </x:c>
    </x:row>
    <x:row r="1217">
      <x:c r="A1217" t="s">
        <x:v>9</x:v>
      </x:c>
      <x:c r="B1217">
        <x:v>0.87048083346621696</x:v>
      </x:c>
      <x:c r="C1217" t="s">
        <x:v>23</x:v>
      </x:c>
      <x:c r="D1217" t="s">
        <x:v>11</x:v>
      </x:c>
      <x:c r="E1217" t="s">
        <x:v>277</x:v>
      </x:c>
      <x:c r="F1217" t="s">
        <x:v>33</x:v>
      </x:c>
      <x:c r="G1217" t="s">
        <x:v>14</x:v>
      </x:c>
      <x:c r="H1217" t="s">
        <x:v>34</x:v>
      </x:c>
      <x:c r="I1217" t="s">
        <x:v>40</x:v>
      </x:c>
    </x:row>
    <x:row r="1218">
      <x:c r="A1218" t="s">
        <x:v>17</x:v>
      </x:c>
      <x:c r="B1218">
        <x:v>0.40140345692634499</x:v>
      </x:c>
      <x:c r="C1218" t="s">
        <x:v>23</x:v>
      </x:c>
      <x:c r="D1218" t="s">
        <x:v>11</x:v>
      </x:c>
      <x:c r="E1218" t="s">
        <x:v>277</x:v>
      </x:c>
      <x:c r="F1218" t="s">
        <x:v>33</x:v>
      </x:c>
      <x:c r="G1218" t="s">
        <x:v>14</x:v>
      </x:c>
      <x:c r="H1218" t="s">
        <x:v>34</x:v>
      </x:c>
      <x:c r="I1218" t="s">
        <x:v>40</x:v>
      </x:c>
    </x:row>
    <x:row r="1219">
      <x:c r="A1219" t="s">
        <x:v>18</x:v>
      </x:c>
      <x:c r="B1219">
        <x:v>0.33044350147247298</x:v>
      </x:c>
      <x:c r="C1219" t="s">
        <x:v>23</x:v>
      </x:c>
      <x:c r="D1219" t="s">
        <x:v>11</x:v>
      </x:c>
      <x:c r="E1219" t="s">
        <x:v>277</x:v>
      </x:c>
      <x:c r="F1219" t="s">
        <x:v>33</x:v>
      </x:c>
      <x:c r="G1219" t="s">
        <x:v>14</x:v>
      </x:c>
      <x:c r="H1219" t="s">
        <x:v>34</x:v>
      </x:c>
      <x:c r="I1219" t="s">
        <x:v>40</x:v>
      </x:c>
    </x:row>
    <x:row r="1220">
      <x:c r="A1220" t="s">
        <x:v>19</x:v>
      </x:c>
      <x:c r="B1220">
        <x:v>0.574842153527795</x:v>
      </x:c>
      <x:c r="C1220" t="s">
        <x:v>23</x:v>
      </x:c>
      <x:c r="D1220" t="s">
        <x:v>11</x:v>
      </x:c>
      <x:c r="E1220" t="s">
        <x:v>277</x:v>
      </x:c>
      <x:c r="F1220" t="s">
        <x:v>33</x:v>
      </x:c>
      <x:c r="G1220" t="s">
        <x:v>14</x:v>
      </x:c>
      <x:c r="H1220" t="s">
        <x:v>34</x:v>
      </x:c>
      <x:c r="I1220" t="s">
        <x:v>40</x:v>
      </x:c>
    </x:row>
    <x:row r="1221">
      <x:c r="A1221" t="s">
        <x:v>20</x:v>
      </x:c>
      <x:c r="B1221">
        <x:v>265818210304000</x:v>
      </x:c>
      <x:c r="C1221" t="s">
        <x:v>23</x:v>
      </x:c>
      <x:c r="D1221" t="s">
        <x:v>11</x:v>
      </x:c>
      <x:c r="E1221" t="s">
        <x:v>277</x:v>
      </x:c>
      <x:c r="F1221" t="s">
        <x:v>33</x:v>
      </x:c>
      <x:c r="G1221" t="s">
        <x:v>14</x:v>
      </x:c>
      <x:c r="H1221" t="s">
        <x:v>34</x:v>
      </x:c>
      <x:c r="I1221" t="s">
        <x:v>40</x:v>
      </x:c>
    </x:row>
    <x:row r="1222">
      <x:c r="A1222" t="s">
        <x:v>9</x:v>
      </x:c>
      <x:c r="B1222">
        <x:v>0.85010067494643105</x:v>
      </x:c>
      <x:c r="C1222" t="s">
        <x:v>10</x:v>
      </x:c>
      <x:c r="D1222" t="s">
        <x:v>11</x:v>
      </x:c>
      <x:c r="E1222" t="s">
        <x:v>278</x:v>
      </x:c>
      <x:c r="F1222" t="s">
        <x:v>33</x:v>
      </x:c>
      <x:c r="G1222" t="s">
        <x:v>14</x:v>
      </x:c>
      <x:c r="H1222" t="s">
        <x:v>34</x:v>
      </x:c>
      <x:c r="I1222" t="s">
        <x:v>97</x:v>
      </x:c>
    </x:row>
    <x:row r="1223">
      <x:c r="A1223" t="s">
        <x:v>17</x:v>
      </x:c>
      <x:c r="B1223">
        <x:v>0.54278612136840798</x:v>
      </x:c>
      <x:c r="C1223" t="s">
        <x:v>10</x:v>
      </x:c>
      <x:c r="D1223" t="s">
        <x:v>11</x:v>
      </x:c>
      <x:c r="E1223" t="s">
        <x:v>278</x:v>
      </x:c>
      <x:c r="F1223" t="s">
        <x:v>33</x:v>
      </x:c>
      <x:c r="G1223" t="s">
        <x:v>14</x:v>
      </x:c>
      <x:c r="H1223" t="s">
        <x:v>34</x:v>
      </x:c>
      <x:c r="I1223" t="s">
        <x:v>97</x:v>
      </x:c>
    </x:row>
    <x:row r="1224">
      <x:c r="A1224" t="s">
        <x:v>18</x:v>
      </x:c>
      <x:c r="B1224">
        <x:v>0.48161214590072599</x:v>
      </x:c>
      <x:c r="C1224" t="s">
        <x:v>10</x:v>
      </x:c>
      <x:c r="D1224" t="s">
        <x:v>11</x:v>
      </x:c>
      <x:c r="E1224" t="s">
        <x:v>278</x:v>
      </x:c>
      <x:c r="F1224" t="s">
        <x:v>33</x:v>
      </x:c>
      <x:c r="G1224" t="s">
        <x:v>14</x:v>
      </x:c>
      <x:c r="H1224" t="s">
        <x:v>34</x:v>
      </x:c>
      <x:c r="I1224" t="s">
        <x:v>97</x:v>
      </x:c>
    </x:row>
    <x:row r="1225">
      <x:c r="A1225" t="s">
        <x:v>19</x:v>
      </x:c>
      <x:c r="B1225">
        <x:v>0.69398281383671601</x:v>
      </x:c>
      <x:c r="C1225" t="s">
        <x:v>10</x:v>
      </x:c>
      <x:c r="D1225" t="s">
        <x:v>11</x:v>
      </x:c>
      <x:c r="E1225" t="s">
        <x:v>278</x:v>
      </x:c>
      <x:c r="F1225" t="s">
        <x:v>33</x:v>
      </x:c>
      <x:c r="G1225" t="s">
        <x:v>14</x:v>
      </x:c>
      <x:c r="H1225" t="s">
        <x:v>34</x:v>
      </x:c>
      <x:c r="I1225" t="s">
        <x:v>97</x:v>
      </x:c>
    </x:row>
    <x:row r="1226">
      <x:c r="A1226" t="s">
        <x:v>20</x:v>
      </x:c>
      <x:c r="B1226">
        <x:v>7014969245696</x:v>
      </x:c>
      <x:c r="C1226" t="s">
        <x:v>10</x:v>
      </x:c>
      <x:c r="D1226" t="s">
        <x:v>11</x:v>
      </x:c>
      <x:c r="E1226" t="s">
        <x:v>278</x:v>
      </x:c>
      <x:c r="F1226" t="s">
        <x:v>33</x:v>
      </x:c>
      <x:c r="G1226" t="s">
        <x:v>14</x:v>
      </x:c>
      <x:c r="H1226" t="s">
        <x:v>34</x:v>
      </x:c>
      <x:c r="I1226" t="s">
        <x:v>97</x:v>
      </x:c>
    </x:row>
    <x:row r="1227">
      <x:c r="A1227" t="s">
        <x:v>9</x:v>
      </x:c>
      <x:c r="B1227">
        <x:v>0.85010067494643105</x:v>
      </x:c>
      <x:c r="C1227" t="s">
        <x:v>10</x:v>
      </x:c>
      <x:c r="D1227" t="s">
        <x:v>21</x:v>
      </x:c>
      <x:c r="E1227" t="s">
        <x:v>279</x:v>
      </x:c>
      <x:c r="F1227" t="s">
        <x:v>33</x:v>
      </x:c>
      <x:c r="G1227" t="s">
        <x:v>14</x:v>
      </x:c>
      <x:c r="H1227" t="s">
        <x:v>34</x:v>
      </x:c>
      <x:c r="I1227" t="s">
        <x:v>97</x:v>
      </x:c>
    </x:row>
    <x:row r="1228">
      <x:c r="A1228" t="s">
        <x:v>17</x:v>
      </x:c>
      <x:c r="B1228">
        <x:v>0.54278612136840798</x:v>
      </x:c>
      <x:c r="C1228" t="s">
        <x:v>10</x:v>
      </x:c>
      <x:c r="D1228" t="s">
        <x:v>21</x:v>
      </x:c>
      <x:c r="E1228" t="s">
        <x:v>279</x:v>
      </x:c>
      <x:c r="F1228" t="s">
        <x:v>33</x:v>
      </x:c>
      <x:c r="G1228" t="s">
        <x:v>14</x:v>
      </x:c>
      <x:c r="H1228" t="s">
        <x:v>34</x:v>
      </x:c>
      <x:c r="I1228" t="s">
        <x:v>97</x:v>
      </x:c>
    </x:row>
    <x:row r="1229">
      <x:c r="A1229" t="s">
        <x:v>18</x:v>
      </x:c>
      <x:c r="B1229">
        <x:v>0.48161214590072599</x:v>
      </x:c>
      <x:c r="C1229" t="s">
        <x:v>10</x:v>
      </x:c>
      <x:c r="D1229" t="s">
        <x:v>21</x:v>
      </x:c>
      <x:c r="E1229" t="s">
        <x:v>279</x:v>
      </x:c>
      <x:c r="F1229" t="s">
        <x:v>33</x:v>
      </x:c>
      <x:c r="G1229" t="s">
        <x:v>14</x:v>
      </x:c>
      <x:c r="H1229" t="s">
        <x:v>34</x:v>
      </x:c>
      <x:c r="I1229" t="s">
        <x:v>97</x:v>
      </x:c>
    </x:row>
    <x:row r="1230">
      <x:c r="A1230" t="s">
        <x:v>19</x:v>
      </x:c>
      <x:c r="B1230">
        <x:v>0.69398281383671601</x:v>
      </x:c>
      <x:c r="C1230" t="s">
        <x:v>10</x:v>
      </x:c>
      <x:c r="D1230" t="s">
        <x:v>21</x:v>
      </x:c>
      <x:c r="E1230" t="s">
        <x:v>279</x:v>
      </x:c>
      <x:c r="F1230" t="s">
        <x:v>33</x:v>
      </x:c>
      <x:c r="G1230" t="s">
        <x:v>14</x:v>
      </x:c>
      <x:c r="H1230" t="s">
        <x:v>34</x:v>
      </x:c>
      <x:c r="I1230" t="s">
        <x:v>97</x:v>
      </x:c>
    </x:row>
    <x:row r="1231">
      <x:c r="A1231" t="s">
        <x:v>20</x:v>
      </x:c>
      <x:c r="B1231">
        <x:v>7014969245696</x:v>
      </x:c>
      <x:c r="C1231" t="s">
        <x:v>10</x:v>
      </x:c>
      <x:c r="D1231" t="s">
        <x:v>21</x:v>
      </x:c>
      <x:c r="E1231" t="s">
        <x:v>279</x:v>
      </x:c>
      <x:c r="F1231" t="s">
        <x:v>33</x:v>
      </x:c>
      <x:c r="G1231" t="s">
        <x:v>14</x:v>
      </x:c>
      <x:c r="H1231" t="s">
        <x:v>34</x:v>
      </x:c>
      <x:c r="I1231" t="s">
        <x:v>97</x:v>
      </x:c>
    </x:row>
    <x:row r="1232">
      <x:c r="A1232" t="s">
        <x:v>9</x:v>
      </x:c>
      <x:c r="B1232">
        <x:v>0.843093725466175</x:v>
      </x:c>
      <x:c r="C1232" t="s">
        <x:v>23</x:v>
      </x:c>
      <x:c r="D1232" t="s">
        <x:v>21</x:v>
      </x:c>
      <x:c r="E1232" t="s">
        <x:v>280</x:v>
      </x:c>
      <x:c r="F1232" t="s">
        <x:v>33</x:v>
      </x:c>
      <x:c r="G1232" t="s">
        <x:v>14</x:v>
      </x:c>
      <x:c r="H1232" t="s">
        <x:v>34</x:v>
      </x:c>
      <x:c r="I1232" t="s">
        <x:v>97</x:v>
      </x:c>
    </x:row>
    <x:row r="1233">
      <x:c r="A1233" t="s">
        <x:v>17</x:v>
      </x:c>
      <x:c r="B1233">
        <x:v>0.38356834650039601</x:v>
      </x:c>
      <x:c r="C1233" t="s">
        <x:v>23</x:v>
      </x:c>
      <x:c r="D1233" t="s">
        <x:v>21</x:v>
      </x:c>
      <x:c r="E1233" t="s">
        <x:v>280</x:v>
      </x:c>
      <x:c r="F1233" t="s">
        <x:v>33</x:v>
      </x:c>
      <x:c r="G1233" t="s">
        <x:v>14</x:v>
      </x:c>
      <x:c r="H1233" t="s">
        <x:v>34</x:v>
      </x:c>
      <x:c r="I1233" t="s">
        <x:v>97</x:v>
      </x:c>
    </x:row>
    <x:row r="1234">
      <x:c r="A1234" t="s">
        <x:v>18</x:v>
      </x:c>
      <x:c r="B1234">
        <x:v>0.38194915652275002</x:v>
      </x:c>
      <x:c r="C1234" t="s">
        <x:v>23</x:v>
      </x:c>
      <x:c r="D1234" t="s">
        <x:v>21</x:v>
      </x:c>
      <x:c r="E1234" t="s">
        <x:v>280</x:v>
      </x:c>
      <x:c r="F1234" t="s">
        <x:v>33</x:v>
      </x:c>
      <x:c r="G1234" t="s">
        <x:v>14</x:v>
      </x:c>
      <x:c r="H1234" t="s">
        <x:v>34</x:v>
      </x:c>
      <x:c r="I1234" t="s">
        <x:v>97</x:v>
      </x:c>
    </x:row>
    <x:row r="1235">
      <x:c r="A1235" t="s">
        <x:v>19</x:v>
      </x:c>
      <x:c r="B1235">
        <x:v>0.61802035283860202</x:v>
      </x:c>
      <x:c r="C1235" t="s">
        <x:v>23</x:v>
      </x:c>
      <x:c r="D1235" t="s">
        <x:v>21</x:v>
      </x:c>
      <x:c r="E1235" t="s">
        <x:v>280</x:v>
      </x:c>
      <x:c r="F1235" t="s">
        <x:v>33</x:v>
      </x:c>
      <x:c r="G1235" t="s">
        <x:v>14</x:v>
      </x:c>
      <x:c r="H1235" t="s">
        <x:v>34</x:v>
      </x:c>
      <x:c r="I1235" t="s">
        <x:v>97</x:v>
      </x:c>
    </x:row>
    <x:row r="1236">
      <x:c r="A1236" t="s">
        <x:v>20</x:v>
      </x:c>
      <x:c r="B1236">
        <x:v>91660792889344</x:v>
      </x:c>
      <x:c r="C1236" t="s">
        <x:v>23</x:v>
      </x:c>
      <x:c r="D1236" t="s">
        <x:v>21</x:v>
      </x:c>
      <x:c r="E1236" t="s">
        <x:v>280</x:v>
      </x:c>
      <x:c r="F1236" t="s">
        <x:v>33</x:v>
      </x:c>
      <x:c r="G1236" t="s">
        <x:v>14</x:v>
      </x:c>
      <x:c r="H1236" t="s">
        <x:v>34</x:v>
      </x:c>
      <x:c r="I1236" t="s">
        <x:v>97</x:v>
      </x:c>
    </x:row>
    <x:row r="1237">
      <x:c r="A1237" t="s">
        <x:v>9</x:v>
      </x:c>
      <x:c r="B1237">
        <x:v>0.843093725466175</x:v>
      </x:c>
      <x:c r="C1237" t="s">
        <x:v>23</x:v>
      </x:c>
      <x:c r="D1237" t="s">
        <x:v>11</x:v>
      </x:c>
      <x:c r="E1237" t="s">
        <x:v>281</x:v>
      </x:c>
      <x:c r="F1237" t="s">
        <x:v>33</x:v>
      </x:c>
      <x:c r="G1237" t="s">
        <x:v>14</x:v>
      </x:c>
      <x:c r="H1237" t="s">
        <x:v>34</x:v>
      </x:c>
      <x:c r="I1237" t="s">
        <x:v>97</x:v>
      </x:c>
    </x:row>
    <x:row r="1238">
      <x:c r="A1238" t="s">
        <x:v>17</x:v>
      </x:c>
      <x:c r="B1238">
        <x:v>0.38356834650039601</x:v>
      </x:c>
      <x:c r="C1238" t="s">
        <x:v>23</x:v>
      </x:c>
      <x:c r="D1238" t="s">
        <x:v>11</x:v>
      </x:c>
      <x:c r="E1238" t="s">
        <x:v>281</x:v>
      </x:c>
      <x:c r="F1238" t="s">
        <x:v>33</x:v>
      </x:c>
      <x:c r="G1238" t="s">
        <x:v>14</x:v>
      </x:c>
      <x:c r="H1238" t="s">
        <x:v>34</x:v>
      </x:c>
      <x:c r="I1238" t="s">
        <x:v>97</x:v>
      </x:c>
    </x:row>
    <x:row r="1239">
      <x:c r="A1239" t="s">
        <x:v>18</x:v>
      </x:c>
      <x:c r="B1239">
        <x:v>0.38194915652275002</x:v>
      </x:c>
      <x:c r="C1239" t="s">
        <x:v>23</x:v>
      </x:c>
      <x:c r="D1239" t="s">
        <x:v>11</x:v>
      </x:c>
      <x:c r="E1239" t="s">
        <x:v>281</x:v>
      </x:c>
      <x:c r="F1239" t="s">
        <x:v>33</x:v>
      </x:c>
      <x:c r="G1239" t="s">
        <x:v>14</x:v>
      </x:c>
      <x:c r="H1239" t="s">
        <x:v>34</x:v>
      </x:c>
      <x:c r="I1239" t="s">
        <x:v>97</x:v>
      </x:c>
    </x:row>
    <x:row r="1240">
      <x:c r="A1240" t="s">
        <x:v>19</x:v>
      </x:c>
      <x:c r="B1240">
        <x:v>0.61802035283860202</x:v>
      </x:c>
      <x:c r="C1240" t="s">
        <x:v>23</x:v>
      </x:c>
      <x:c r="D1240" t="s">
        <x:v>11</x:v>
      </x:c>
      <x:c r="E1240" t="s">
        <x:v>281</x:v>
      </x:c>
      <x:c r="F1240" t="s">
        <x:v>33</x:v>
      </x:c>
      <x:c r="G1240" t="s">
        <x:v>14</x:v>
      </x:c>
      <x:c r="H1240" t="s">
        <x:v>34</x:v>
      </x:c>
      <x:c r="I1240" t="s">
        <x:v>97</x:v>
      </x:c>
    </x:row>
    <x:row r="1241">
      <x:c r="A1241" t="s">
        <x:v>20</x:v>
      </x:c>
      <x:c r="B1241">
        <x:v>91660792889344</x:v>
      </x:c>
      <x:c r="C1241" t="s">
        <x:v>23</x:v>
      </x:c>
      <x:c r="D1241" t="s">
        <x:v>11</x:v>
      </x:c>
      <x:c r="E1241" t="s">
        <x:v>281</x:v>
      </x:c>
      <x:c r="F1241" t="s">
        <x:v>33</x:v>
      </x:c>
      <x:c r="G1241" t="s">
        <x:v>14</x:v>
      </x:c>
      <x:c r="H1241" t="s">
        <x:v>34</x:v>
      </x:c>
      <x:c r="I1241" t="s">
        <x:v>97</x:v>
      </x:c>
    </x:row>
    <x:row r="1242">
      <x:c r="A1242" t="s">
        <x:v>9</x:v>
      </x:c>
      <x:c r="B1242">
        <x:v>0.94676598816008695</x:v>
      </x:c>
      <x:c r="C1242" t="s">
        <x:v>10</x:v>
      </x:c>
      <x:c r="D1242" t="s">
        <x:v>11</x:v>
      </x:c>
      <x:c r="E1242" t="s">
        <x:v>282</x:v>
      </x:c>
      <x:c r="F1242" t="s">
        <x:v>13</x:v>
      </x:c>
      <x:c r="G1242" t="s">
        <x:v>27</x:v>
      </x:c>
      <x:c r="I1242" t="s">
        <x:v>40</x:v>
      </x:c>
    </x:row>
    <x:row r="1243">
      <x:c r="A1243" t="s">
        <x:v>17</x:v>
      </x:c>
      <x:c r="B1243">
        <x:v>0.20953799784183499</x:v>
      </x:c>
      <x:c r="C1243" t="s">
        <x:v>10</x:v>
      </x:c>
      <x:c r="D1243" t="s">
        <x:v>11</x:v>
      </x:c>
      <x:c r="E1243" t="s">
        <x:v>282</x:v>
      </x:c>
      <x:c r="F1243" t="s">
        <x:v>13</x:v>
      </x:c>
      <x:c r="G1243" t="s">
        <x:v>27</x:v>
      </x:c>
      <x:c r="I1243" t="s">
        <x:v>40</x:v>
      </x:c>
    </x:row>
    <x:row r="1244">
      <x:c r="A1244" t="s">
        <x:v>18</x:v>
      </x:c>
      <x:c r="B1244">
        <x:v>9.4751074910163796E-2</x:v>
      </x:c>
      <x:c r="C1244" t="s">
        <x:v>10</x:v>
      </x:c>
      <x:c r="D1244" t="s">
        <x:v>11</x:v>
      </x:c>
      <x:c r="E1244" t="s">
        <x:v>282</x:v>
      </x:c>
      <x:c r="F1244" t="s">
        <x:v>13</x:v>
      </x:c>
      <x:c r="G1244" t="s">
        <x:v>27</x:v>
      </x:c>
      <x:c r="I1244" t="s">
        <x:v>40</x:v>
      </x:c>
    </x:row>
    <x:row r="1245">
      <x:c r="A1245" t="s">
        <x:v>19</x:v>
      </x:c>
      <x:c r="B1245">
        <x:v>0.30781662546094501</x:v>
      </x:c>
      <x:c r="C1245" t="s">
        <x:v>10</x:v>
      </x:c>
      <x:c r="D1245" t="s">
        <x:v>11</x:v>
      </x:c>
      <x:c r="E1245" t="s">
        <x:v>282</x:v>
      </x:c>
      <x:c r="F1245" t="s">
        <x:v>13</x:v>
      </x:c>
      <x:c r="G1245" t="s">
        <x:v>27</x:v>
      </x:c>
      <x:c r="I1245" t="s">
        <x:v>40</x:v>
      </x:c>
    </x:row>
    <x:row r="1246">
      <x:c r="A1246" t="s">
        <x:v>20</x:v>
      </x:c>
      <x:c r="B1246">
        <x:v>50781034119168</x:v>
      </x:c>
      <x:c r="C1246" t="s">
        <x:v>10</x:v>
      </x:c>
      <x:c r="D1246" t="s">
        <x:v>11</x:v>
      </x:c>
      <x:c r="E1246" t="s">
        <x:v>282</x:v>
      </x:c>
      <x:c r="F1246" t="s">
        <x:v>13</x:v>
      </x:c>
      <x:c r="G1246" t="s">
        <x:v>27</x:v>
      </x:c>
      <x:c r="I1246" t="s">
        <x:v>40</x:v>
      </x:c>
    </x:row>
    <x:row r="1247">
      <x:c r="A1247" t="s">
        <x:v>9</x:v>
      </x:c>
      <x:c r="B1247">
        <x:v>0.94676598816008695</x:v>
      </x:c>
      <x:c r="C1247" t="s">
        <x:v>10</x:v>
      </x:c>
      <x:c r="D1247" t="s">
        <x:v>21</x:v>
      </x:c>
      <x:c r="E1247" t="s">
        <x:v>283</x:v>
      </x:c>
      <x:c r="F1247" t="s">
        <x:v>13</x:v>
      </x:c>
      <x:c r="G1247" t="s">
        <x:v>27</x:v>
      </x:c>
      <x:c r="I1247" t="s">
        <x:v>40</x:v>
      </x:c>
    </x:row>
    <x:row r="1248">
      <x:c r="A1248" t="s">
        <x:v>17</x:v>
      </x:c>
      <x:c r="B1248">
        <x:v>0.20953799784183499</x:v>
      </x:c>
      <x:c r="C1248" t="s">
        <x:v>10</x:v>
      </x:c>
      <x:c r="D1248" t="s">
        <x:v>21</x:v>
      </x:c>
      <x:c r="E1248" t="s">
        <x:v>283</x:v>
      </x:c>
      <x:c r="F1248" t="s">
        <x:v>13</x:v>
      </x:c>
      <x:c r="G1248" t="s">
        <x:v>27</x:v>
      </x:c>
      <x:c r="I1248" t="s">
        <x:v>40</x:v>
      </x:c>
    </x:row>
    <x:row r="1249">
      <x:c r="A1249" t="s">
        <x:v>18</x:v>
      </x:c>
      <x:c r="B1249">
        <x:v>9.4751074910163796E-2</x:v>
      </x:c>
      <x:c r="C1249" t="s">
        <x:v>10</x:v>
      </x:c>
      <x:c r="D1249" t="s">
        <x:v>21</x:v>
      </x:c>
      <x:c r="E1249" t="s">
        <x:v>283</x:v>
      </x:c>
      <x:c r="F1249" t="s">
        <x:v>13</x:v>
      </x:c>
      <x:c r="G1249" t="s">
        <x:v>27</x:v>
      </x:c>
      <x:c r="I1249" t="s">
        <x:v>40</x:v>
      </x:c>
    </x:row>
    <x:row r="1250">
      <x:c r="A1250" t="s">
        <x:v>19</x:v>
      </x:c>
      <x:c r="B1250">
        <x:v>0.30781662546094501</x:v>
      </x:c>
      <x:c r="C1250" t="s">
        <x:v>10</x:v>
      </x:c>
      <x:c r="D1250" t="s">
        <x:v>21</x:v>
      </x:c>
      <x:c r="E1250" t="s">
        <x:v>283</x:v>
      </x:c>
      <x:c r="F1250" t="s">
        <x:v>13</x:v>
      </x:c>
      <x:c r="G1250" t="s">
        <x:v>27</x:v>
      </x:c>
      <x:c r="I1250" t="s">
        <x:v>40</x:v>
      </x:c>
    </x:row>
    <x:row r="1251">
      <x:c r="A1251" t="s">
        <x:v>20</x:v>
      </x:c>
      <x:c r="B1251">
        <x:v>50781034119168</x:v>
      </x:c>
      <x:c r="C1251" t="s">
        <x:v>10</x:v>
      </x:c>
      <x:c r="D1251" t="s">
        <x:v>21</x:v>
      </x:c>
      <x:c r="E1251" t="s">
        <x:v>283</x:v>
      </x:c>
      <x:c r="F1251" t="s">
        <x:v>13</x:v>
      </x:c>
      <x:c r="G1251" t="s">
        <x:v>27</x:v>
      </x:c>
      <x:c r="I1251" t="s">
        <x:v>40</x:v>
      </x:c>
    </x:row>
    <x:row r="1252">
      <x:c r="A1252" t="s">
        <x:v>9</x:v>
      </x:c>
      <x:c r="B1252">
        <x:v>0.92303132020699197</x:v>
      </x:c>
      <x:c r="C1252" t="s">
        <x:v>23</x:v>
      </x:c>
      <x:c r="D1252" t="s">
        <x:v>21</x:v>
      </x:c>
      <x:c r="E1252" t="s">
        <x:v>284</x:v>
      </x:c>
      <x:c r="F1252" t="s">
        <x:v>13</x:v>
      </x:c>
      <x:c r="G1252" t="s">
        <x:v>27</x:v>
      </x:c>
      <x:c r="I1252" t="s">
        <x:v>40</x:v>
      </x:c>
    </x:row>
    <x:row r="1253">
      <x:c r="A1253" t="s">
        <x:v>17</x:v>
      </x:c>
      <x:c r="B1253">
        <x:v>0.23660372197627999</x:v>
      </x:c>
      <x:c r="C1253" t="s">
        <x:v>23</x:v>
      </x:c>
      <x:c r="D1253" t="s">
        <x:v>21</x:v>
      </x:c>
      <x:c r="E1253" t="s">
        <x:v>284</x:v>
      </x:c>
      <x:c r="F1253" t="s">
        <x:v>13</x:v>
      </x:c>
      <x:c r="G1253" t="s">
        <x:v>27</x:v>
      </x:c>
      <x:c r="I1253" t="s">
        <x:v>40</x:v>
      </x:c>
    </x:row>
    <x:row r="1254">
      <x:c r="A1254" t="s">
        <x:v>18</x:v>
      </x:c>
      <x:c r="B1254">
        <x:v>0.18023999035358401</x:v>
      </x:c>
      <x:c r="C1254" t="s">
        <x:v>23</x:v>
      </x:c>
      <x:c r="D1254" t="s">
        <x:v>21</x:v>
      </x:c>
      <x:c r="E1254" t="s">
        <x:v>284</x:v>
      </x:c>
      <x:c r="F1254" t="s">
        <x:v>13</x:v>
      </x:c>
      <x:c r="G1254" t="s">
        <x:v>27</x:v>
      </x:c>
      <x:c r="I1254" t="s">
        <x:v>40</x:v>
      </x:c>
    </x:row>
    <x:row r="1255">
      <x:c r="A1255" t="s">
        <x:v>19</x:v>
      </x:c>
      <x:c r="B1255">
        <x:v>0.42454680584546101</x:v>
      </x:c>
      <x:c r="C1255" t="s">
        <x:v>23</x:v>
      </x:c>
      <x:c r="D1255" t="s">
        <x:v>21</x:v>
      </x:c>
      <x:c r="E1255" t="s">
        <x:v>284</x:v>
      </x:c>
      <x:c r="F1255" t="s">
        <x:v>13</x:v>
      </x:c>
      <x:c r="G1255" t="s">
        <x:v>27</x:v>
      </x:c>
      <x:c r="I1255" t="s">
        <x:v>40</x:v>
      </x:c>
    </x:row>
    <x:row r="1256">
      <x:c r="A1256" t="s">
        <x:v>20</x:v>
      </x:c>
      <x:c r="B1256">
        <x:v>184916276936704</x:v>
      </x:c>
      <x:c r="C1256" t="s">
        <x:v>23</x:v>
      </x:c>
      <x:c r="D1256" t="s">
        <x:v>21</x:v>
      </x:c>
      <x:c r="E1256" t="s">
        <x:v>284</x:v>
      </x:c>
      <x:c r="F1256" t="s">
        <x:v>13</x:v>
      </x:c>
      <x:c r="G1256" t="s">
        <x:v>27</x:v>
      </x:c>
      <x:c r="I1256" t="s">
        <x:v>40</x:v>
      </x:c>
    </x:row>
    <x:row r="1257">
      <x:c r="A1257" t="s">
        <x:v>9</x:v>
      </x:c>
      <x:c r="B1257">
        <x:v>0.92303132020699197</x:v>
      </x:c>
      <x:c r="C1257" t="s">
        <x:v>23</x:v>
      </x:c>
      <x:c r="D1257" t="s">
        <x:v>11</x:v>
      </x:c>
      <x:c r="E1257" t="s">
        <x:v>285</x:v>
      </x:c>
      <x:c r="F1257" t="s">
        <x:v>13</x:v>
      </x:c>
      <x:c r="G1257" t="s">
        <x:v>27</x:v>
      </x:c>
      <x:c r="I1257" t="s">
        <x:v>40</x:v>
      </x:c>
    </x:row>
    <x:row r="1258">
      <x:c r="A1258" t="s">
        <x:v>17</x:v>
      </x:c>
      <x:c r="B1258">
        <x:v>0.23660372197627999</x:v>
      </x:c>
      <x:c r="C1258" t="s">
        <x:v>23</x:v>
      </x:c>
      <x:c r="D1258" t="s">
        <x:v>11</x:v>
      </x:c>
      <x:c r="E1258" t="s">
        <x:v>285</x:v>
      </x:c>
      <x:c r="F1258" t="s">
        <x:v>13</x:v>
      </x:c>
      <x:c r="G1258" t="s">
        <x:v>27</x:v>
      </x:c>
      <x:c r="I1258" t="s">
        <x:v>40</x:v>
      </x:c>
    </x:row>
    <x:row r="1259">
      <x:c r="A1259" t="s">
        <x:v>18</x:v>
      </x:c>
      <x:c r="B1259">
        <x:v>0.18023999035358401</x:v>
      </x:c>
      <x:c r="C1259" t="s">
        <x:v>23</x:v>
      </x:c>
      <x:c r="D1259" t="s">
        <x:v>11</x:v>
      </x:c>
      <x:c r="E1259" t="s">
        <x:v>285</x:v>
      </x:c>
      <x:c r="F1259" t="s">
        <x:v>13</x:v>
      </x:c>
      <x:c r="G1259" t="s">
        <x:v>27</x:v>
      </x:c>
      <x:c r="I1259" t="s">
        <x:v>40</x:v>
      </x:c>
    </x:row>
    <x:row r="1260">
      <x:c r="A1260" t="s">
        <x:v>19</x:v>
      </x:c>
      <x:c r="B1260">
        <x:v>0.42454680584546101</x:v>
      </x:c>
      <x:c r="C1260" t="s">
        <x:v>23</x:v>
      </x:c>
      <x:c r="D1260" t="s">
        <x:v>11</x:v>
      </x:c>
      <x:c r="E1260" t="s">
        <x:v>285</x:v>
      </x:c>
      <x:c r="F1260" t="s">
        <x:v>13</x:v>
      </x:c>
      <x:c r="G1260" t="s">
        <x:v>27</x:v>
      </x:c>
      <x:c r="I1260" t="s">
        <x:v>40</x:v>
      </x:c>
    </x:row>
    <x:row r="1261">
      <x:c r="A1261" t="s">
        <x:v>20</x:v>
      </x:c>
      <x:c r="B1261">
        <x:v>184916276936704</x:v>
      </x:c>
      <x:c r="C1261" t="s">
        <x:v>23</x:v>
      </x:c>
      <x:c r="D1261" t="s">
        <x:v>11</x:v>
      </x:c>
      <x:c r="E1261" t="s">
        <x:v>285</x:v>
      </x:c>
      <x:c r="F1261" t="s">
        <x:v>13</x:v>
      </x:c>
      <x:c r="G1261" t="s">
        <x:v>27</x:v>
      </x:c>
      <x:c r="I1261" t="s">
        <x:v>40</x:v>
      </x:c>
    </x:row>
    <x:row r="1262">
      <x:c r="A1262" t="s">
        <x:v>9</x:v>
      </x:c>
      <x:c r="B1262">
        <x:v>0.90437801401987805</x:v>
      </x:c>
      <x:c r="C1262" t="s">
        <x:v>10</x:v>
      </x:c>
      <x:c r="D1262" t="s">
        <x:v>11</x:v>
      </x:c>
      <x:c r="E1262" t="s">
        <x:v>286</x:v>
      </x:c>
      <x:c r="F1262" t="s">
        <x:v>13</x:v>
      </x:c>
      <x:c r="G1262" t="s">
        <x:v>14</x:v>
      </x:c>
      <x:c r="H1262" t="s">
        <x:v>15</x:v>
      </x:c>
      <x:c r="I1262" t="s">
        <x:v>97</x:v>
      </x:c>
    </x:row>
    <x:row r="1263">
      <x:c r="A1263" t="s">
        <x:v>17</x:v>
      </x:c>
      <x:c r="B1263">
        <x:v>0.242983013391494</x:v>
      </x:c>
      <x:c r="C1263" t="s">
        <x:v>10</x:v>
      </x:c>
      <x:c r="D1263" t="s">
        <x:v>11</x:v>
      </x:c>
      <x:c r="E1263" t="s">
        <x:v>286</x:v>
      </x:c>
      <x:c r="F1263" t="s">
        <x:v>13</x:v>
      </x:c>
      <x:c r="G1263" t="s">
        <x:v>14</x:v>
      </x:c>
      <x:c r="H1263" t="s">
        <x:v>15</x:v>
      </x:c>
      <x:c r="I1263" t="s">
        <x:v>97</x:v>
      </x:c>
    </x:row>
    <x:row r="1264">
      <x:c r="A1264" t="s">
        <x:v>18</x:v>
      </x:c>
      <x:c r="B1264">
        <x:v>0.108273200690746</x:v>
      </x:c>
      <x:c r="C1264" t="s">
        <x:v>10</x:v>
      </x:c>
      <x:c r="D1264" t="s">
        <x:v>11</x:v>
      </x:c>
      <x:c r="E1264" t="s">
        <x:v>286</x:v>
      </x:c>
      <x:c r="F1264" t="s">
        <x:v>13</x:v>
      </x:c>
      <x:c r="G1264" t="s">
        <x:v>14</x:v>
      </x:c>
      <x:c r="H1264" t="s">
        <x:v>15</x:v>
      </x:c>
      <x:c r="I1264" t="s">
        <x:v>97</x:v>
      </x:c>
    </x:row>
    <x:row r="1265">
      <x:c r="A1265" t="s">
        <x:v>19</x:v>
      </x:c>
      <x:c r="B1265">
        <x:v>0.32904893358092802</x:v>
      </x:c>
      <x:c r="C1265" t="s">
        <x:v>10</x:v>
      </x:c>
      <x:c r="D1265" t="s">
        <x:v>11</x:v>
      </x:c>
      <x:c r="E1265" t="s">
        <x:v>286</x:v>
      </x:c>
      <x:c r="F1265" t="s">
        <x:v>13</x:v>
      </x:c>
      <x:c r="G1265" t="s">
        <x:v>14</x:v>
      </x:c>
      <x:c r="H1265" t="s">
        <x:v>15</x:v>
      </x:c>
      <x:c r="I1265" t="s">
        <x:v>97</x:v>
      </x:c>
    </x:row>
    <x:row r="1266">
      <x:c r="A1266" t="s">
        <x:v>20</x:v>
      </x:c>
      <x:c r="B1266">
        <x:v>35999572819968</x:v>
      </x:c>
      <x:c r="C1266" t="s">
        <x:v>10</x:v>
      </x:c>
      <x:c r="D1266" t="s">
        <x:v>11</x:v>
      </x:c>
      <x:c r="E1266" t="s">
        <x:v>286</x:v>
      </x:c>
      <x:c r="F1266" t="s">
        <x:v>13</x:v>
      </x:c>
      <x:c r="G1266" t="s">
        <x:v>14</x:v>
      </x:c>
      <x:c r="H1266" t="s">
        <x:v>15</x:v>
      </x:c>
      <x:c r="I1266" t="s">
        <x:v>97</x:v>
      </x:c>
    </x:row>
    <x:row r="1267">
      <x:c r="A1267" t="s">
        <x:v>9</x:v>
      </x:c>
      <x:c r="B1267">
        <x:v>0.90437801401987805</x:v>
      </x:c>
      <x:c r="C1267" t="s">
        <x:v>10</x:v>
      </x:c>
      <x:c r="D1267" t="s">
        <x:v>21</x:v>
      </x:c>
      <x:c r="E1267" t="s">
        <x:v>287</x:v>
      </x:c>
      <x:c r="F1267" t="s">
        <x:v>13</x:v>
      </x:c>
      <x:c r="G1267" t="s">
        <x:v>14</x:v>
      </x:c>
      <x:c r="H1267" t="s">
        <x:v>15</x:v>
      </x:c>
      <x:c r="I1267" t="s">
        <x:v>97</x:v>
      </x:c>
    </x:row>
    <x:row r="1268">
      <x:c r="A1268" t="s">
        <x:v>17</x:v>
      </x:c>
      <x:c r="B1268">
        <x:v>0.242983013391494</x:v>
      </x:c>
      <x:c r="C1268" t="s">
        <x:v>10</x:v>
      </x:c>
      <x:c r="D1268" t="s">
        <x:v>21</x:v>
      </x:c>
      <x:c r="E1268" t="s">
        <x:v>287</x:v>
      </x:c>
      <x:c r="F1268" t="s">
        <x:v>13</x:v>
      </x:c>
      <x:c r="G1268" t="s">
        <x:v>14</x:v>
      </x:c>
      <x:c r="H1268" t="s">
        <x:v>15</x:v>
      </x:c>
      <x:c r="I1268" t="s">
        <x:v>97</x:v>
      </x:c>
    </x:row>
    <x:row r="1269">
      <x:c r="A1269" t="s">
        <x:v>18</x:v>
      </x:c>
      <x:c r="B1269">
        <x:v>0.108273200690746</x:v>
      </x:c>
      <x:c r="C1269" t="s">
        <x:v>10</x:v>
      </x:c>
      <x:c r="D1269" t="s">
        <x:v>21</x:v>
      </x:c>
      <x:c r="E1269" t="s">
        <x:v>287</x:v>
      </x:c>
      <x:c r="F1269" t="s">
        <x:v>13</x:v>
      </x:c>
      <x:c r="G1269" t="s">
        <x:v>14</x:v>
      </x:c>
      <x:c r="H1269" t="s">
        <x:v>15</x:v>
      </x:c>
      <x:c r="I1269" t="s">
        <x:v>97</x:v>
      </x:c>
    </x:row>
    <x:row r="1270">
      <x:c r="A1270" t="s">
        <x:v>19</x:v>
      </x:c>
      <x:c r="B1270">
        <x:v>0.32904893358092802</x:v>
      </x:c>
      <x:c r="C1270" t="s">
        <x:v>10</x:v>
      </x:c>
      <x:c r="D1270" t="s">
        <x:v>21</x:v>
      </x:c>
      <x:c r="E1270" t="s">
        <x:v>287</x:v>
      </x:c>
      <x:c r="F1270" t="s">
        <x:v>13</x:v>
      </x:c>
      <x:c r="G1270" t="s">
        <x:v>14</x:v>
      </x:c>
      <x:c r="H1270" t="s">
        <x:v>15</x:v>
      </x:c>
      <x:c r="I1270" t="s">
        <x:v>97</x:v>
      </x:c>
    </x:row>
    <x:row r="1271">
      <x:c r="A1271" t="s">
        <x:v>20</x:v>
      </x:c>
      <x:c r="B1271">
        <x:v>35999572819968</x:v>
      </x:c>
      <x:c r="C1271" t="s">
        <x:v>10</x:v>
      </x:c>
      <x:c r="D1271" t="s">
        <x:v>21</x:v>
      </x:c>
      <x:c r="E1271" t="s">
        <x:v>287</x:v>
      </x:c>
      <x:c r="F1271" t="s">
        <x:v>13</x:v>
      </x:c>
      <x:c r="G1271" t="s">
        <x:v>14</x:v>
      </x:c>
      <x:c r="H1271" t="s">
        <x:v>15</x:v>
      </x:c>
      <x:c r="I1271" t="s">
        <x:v>97</x:v>
      </x:c>
    </x:row>
    <x:row r="1272">
      <x:c r="A1272" t="s">
        <x:v>9</x:v>
      </x:c>
      <x:c r="B1272">
        <x:v>0.88734976099270901</x:v>
      </x:c>
      <x:c r="C1272" t="s">
        <x:v>23</x:v>
      </x:c>
      <x:c r="D1272" t="s">
        <x:v>21</x:v>
      </x:c>
      <x:c r="E1272" t="s">
        <x:v>288</x:v>
      </x:c>
      <x:c r="F1272" t="s">
        <x:v>13</x:v>
      </x:c>
      <x:c r="G1272" t="s">
        <x:v>14</x:v>
      </x:c>
      <x:c r="H1272" t="s">
        <x:v>15</x:v>
      </x:c>
      <x:c r="I1272" t="s">
        <x:v>97</x:v>
      </x:c>
    </x:row>
    <x:row r="1273">
      <x:c r="A1273" t="s">
        <x:v>17</x:v>
      </x:c>
      <x:c r="B1273">
        <x:v>0.36773726344108498</x:v>
      </x:c>
      <x:c r="C1273" t="s">
        <x:v>23</x:v>
      </x:c>
      <x:c r="D1273" t="s">
        <x:v>21</x:v>
      </x:c>
      <x:c r="E1273" t="s">
        <x:v>288</x:v>
      </x:c>
      <x:c r="F1273" t="s">
        <x:v>13</x:v>
      </x:c>
      <x:c r="G1273" t="s">
        <x:v>14</x:v>
      </x:c>
      <x:c r="H1273" t="s">
        <x:v>15</x:v>
      </x:c>
      <x:c r="I1273" t="s">
        <x:v>97</x:v>
      </x:c>
    </x:row>
    <x:row r="1274">
      <x:c r="A1274" t="s">
        <x:v>18</x:v>
      </x:c>
      <x:c r="B1274">
        <x:v>0.303300380706787</x:v>
      </x:c>
      <x:c r="C1274" t="s">
        <x:v>23</x:v>
      </x:c>
      <x:c r="D1274" t="s">
        <x:v>21</x:v>
      </x:c>
      <x:c r="E1274" t="s">
        <x:v>288</x:v>
      </x:c>
      <x:c r="F1274" t="s">
        <x:v>13</x:v>
      </x:c>
      <x:c r="G1274" t="s">
        <x:v>14</x:v>
      </x:c>
      <x:c r="H1274" t="s">
        <x:v>15</x:v>
      </x:c>
      <x:c r="I1274" t="s">
        <x:v>97</x:v>
      </x:c>
    </x:row>
    <x:row r="1275">
      <x:c r="A1275" t="s">
        <x:v>19</x:v>
      </x:c>
      <x:c r="B1275">
        <x:v>0.55072713816080199</x:v>
      </x:c>
      <x:c r="C1275" t="s">
        <x:v>23</x:v>
      </x:c>
      <x:c r="D1275" t="s">
        <x:v>21</x:v>
      </x:c>
      <x:c r="E1275" t="s">
        <x:v>288</x:v>
      </x:c>
      <x:c r="F1275" t="s">
        <x:v>13</x:v>
      </x:c>
      <x:c r="G1275" t="s">
        <x:v>14</x:v>
      </x:c>
      <x:c r="H1275" t="s">
        <x:v>15</x:v>
      </x:c>
      <x:c r="I1275" t="s">
        <x:v>97</x:v>
      </x:c>
    </x:row>
    <x:row r="1276">
      <x:c r="A1276" t="s">
        <x:v>20</x:v>
      </x:c>
      <x:c r="B1276">
        <x:v>310037146763264</x:v>
      </x:c>
      <x:c r="C1276" t="s">
        <x:v>23</x:v>
      </x:c>
      <x:c r="D1276" t="s">
        <x:v>21</x:v>
      </x:c>
      <x:c r="E1276" t="s">
        <x:v>288</x:v>
      </x:c>
      <x:c r="F1276" t="s">
        <x:v>13</x:v>
      </x:c>
      <x:c r="G1276" t="s">
        <x:v>14</x:v>
      </x:c>
      <x:c r="H1276" t="s">
        <x:v>15</x:v>
      </x:c>
      <x:c r="I1276" t="s">
        <x:v>97</x:v>
      </x:c>
    </x:row>
    <x:row r="1277">
      <x:c r="A1277" t="s">
        <x:v>9</x:v>
      </x:c>
      <x:c r="B1277">
        <x:v>0.88734976099270901</x:v>
      </x:c>
      <x:c r="C1277" t="s">
        <x:v>23</x:v>
      </x:c>
      <x:c r="D1277" t="s">
        <x:v>11</x:v>
      </x:c>
      <x:c r="E1277" t="s">
        <x:v>289</x:v>
      </x:c>
      <x:c r="F1277" t="s">
        <x:v>13</x:v>
      </x:c>
      <x:c r="G1277" t="s">
        <x:v>14</x:v>
      </x:c>
      <x:c r="H1277" t="s">
        <x:v>15</x:v>
      </x:c>
      <x:c r="I1277" t="s">
        <x:v>97</x:v>
      </x:c>
    </x:row>
    <x:row r="1278">
      <x:c r="A1278" t="s">
        <x:v>17</x:v>
      </x:c>
      <x:c r="B1278">
        <x:v>0.36773726344108498</x:v>
      </x:c>
      <x:c r="C1278" t="s">
        <x:v>23</x:v>
      </x:c>
      <x:c r="D1278" t="s">
        <x:v>11</x:v>
      </x:c>
      <x:c r="E1278" t="s">
        <x:v>289</x:v>
      </x:c>
      <x:c r="F1278" t="s">
        <x:v>13</x:v>
      </x:c>
      <x:c r="G1278" t="s">
        <x:v>14</x:v>
      </x:c>
      <x:c r="H1278" t="s">
        <x:v>15</x:v>
      </x:c>
      <x:c r="I1278" t="s">
        <x:v>97</x:v>
      </x:c>
    </x:row>
    <x:row r="1279">
      <x:c r="A1279" t="s">
        <x:v>18</x:v>
      </x:c>
      <x:c r="B1279">
        <x:v>0.303300380706787</x:v>
      </x:c>
      <x:c r="C1279" t="s">
        <x:v>23</x:v>
      </x:c>
      <x:c r="D1279" t="s">
        <x:v>11</x:v>
      </x:c>
      <x:c r="E1279" t="s">
        <x:v>289</x:v>
      </x:c>
      <x:c r="F1279" t="s">
        <x:v>13</x:v>
      </x:c>
      <x:c r="G1279" t="s">
        <x:v>14</x:v>
      </x:c>
      <x:c r="H1279" t="s">
        <x:v>15</x:v>
      </x:c>
      <x:c r="I1279" t="s">
        <x:v>97</x:v>
      </x:c>
    </x:row>
    <x:row r="1280">
      <x:c r="A1280" t="s">
        <x:v>19</x:v>
      </x:c>
      <x:c r="B1280">
        <x:v>0.55072713816080199</x:v>
      </x:c>
      <x:c r="C1280" t="s">
        <x:v>23</x:v>
      </x:c>
      <x:c r="D1280" t="s">
        <x:v>11</x:v>
      </x:c>
      <x:c r="E1280" t="s">
        <x:v>289</x:v>
      </x:c>
      <x:c r="F1280" t="s">
        <x:v>13</x:v>
      </x:c>
      <x:c r="G1280" t="s">
        <x:v>14</x:v>
      </x:c>
      <x:c r="H1280" t="s">
        <x:v>15</x:v>
      </x:c>
      <x:c r="I1280" t="s">
        <x:v>97</x:v>
      </x:c>
    </x:row>
    <x:row r="1281">
      <x:c r="A1281" t="s">
        <x:v>20</x:v>
      </x:c>
      <x:c r="B1281">
        <x:v>310037146763264</x:v>
      </x:c>
      <x:c r="C1281" t="s">
        <x:v>23</x:v>
      </x:c>
      <x:c r="D1281" t="s">
        <x:v>11</x:v>
      </x:c>
      <x:c r="E1281" t="s">
        <x:v>289</x:v>
      </x:c>
      <x:c r="F1281" t="s">
        <x:v>13</x:v>
      </x:c>
      <x:c r="G1281" t="s">
        <x:v>14</x:v>
      </x:c>
      <x:c r="H1281" t="s">
        <x:v>15</x:v>
      </x:c>
      <x:c r="I1281" t="s">
        <x:v>97</x:v>
      </x:c>
    </x:row>
    <x:row r="1282">
      <x:c r="A1282" t="s">
        <x:v>9</x:v>
      </x:c>
      <x:c r="B1282">
        <x:v>0.86439421114208503</x:v>
      </x:c>
      <x:c r="C1282" t="s">
        <x:v>10</x:v>
      </x:c>
      <x:c r="D1282" t="s">
        <x:v>11</x:v>
      </x:c>
      <x:c r="E1282" t="s">
        <x:v>290</x:v>
      </x:c>
      <x:c r="F1282" t="s">
        <x:v>33</x:v>
      </x:c>
      <x:c r="G1282" t="s">
        <x:v>14</x:v>
      </x:c>
      <x:c r="H1282" t="s">
        <x:v>34</x:v>
      </x:c>
      <x:c r="I1282" t="s">
        <x:v>16</x:v>
      </x:c>
    </x:row>
    <x:row r="1283">
      <x:c r="A1283" t="s">
        <x:v>17</x:v>
      </x:c>
      <x:c r="B1283">
        <x:v>0.54148769378662098</x:v>
      </x:c>
      <x:c r="C1283" t="s">
        <x:v>10</x:v>
      </x:c>
      <x:c r="D1283" t="s">
        <x:v>11</x:v>
      </x:c>
      <x:c r="E1283" t="s">
        <x:v>290</x:v>
      </x:c>
      <x:c r="F1283" t="s">
        <x:v>33</x:v>
      </x:c>
      <x:c r="G1283" t="s">
        <x:v>14</x:v>
      </x:c>
      <x:c r="H1283" t="s">
        <x:v>34</x:v>
      </x:c>
      <x:c r="I1283" t="s">
        <x:v>16</x:v>
      </x:c>
    </x:row>
    <x:row r="1284">
      <x:c r="A1284" t="s">
        <x:v>18</x:v>
      </x:c>
      <x:c r="B1284">
        <x:v>0.50825685262679998</x:v>
      </x:c>
      <x:c r="C1284" t="s">
        <x:v>10</x:v>
      </x:c>
      <x:c r="D1284" t="s">
        <x:v>11</x:v>
      </x:c>
      <x:c r="E1284" t="s">
        <x:v>290</x:v>
      </x:c>
      <x:c r="F1284" t="s">
        <x:v>33</x:v>
      </x:c>
      <x:c r="G1284" t="s">
        <x:v>14</x:v>
      </x:c>
      <x:c r="H1284" t="s">
        <x:v>34</x:v>
      </x:c>
      <x:c r="I1284" t="s">
        <x:v>16</x:v>
      </x:c>
    </x:row>
    <x:row r="1285">
      <x:c r="A1285" t="s">
        <x:v>19</x:v>
      </x:c>
      <x:c r="B1285">
        <x:v>0.71292135094048104</x:v>
      </x:c>
      <x:c r="C1285" t="s">
        <x:v>10</x:v>
      </x:c>
      <x:c r="D1285" t="s">
        <x:v>11</x:v>
      </x:c>
      <x:c r="E1285" t="s">
        <x:v>290</x:v>
      </x:c>
      <x:c r="F1285" t="s">
        <x:v>33</x:v>
      </x:c>
      <x:c r="G1285" t="s">
        <x:v>14</x:v>
      </x:c>
      <x:c r="H1285" t="s">
        <x:v>34</x:v>
      </x:c>
      <x:c r="I1285" t="s">
        <x:v>16</x:v>
      </x:c>
    </x:row>
    <x:row r="1286">
      <x:c r="A1286" t="s">
        <x:v>20</x:v>
      </x:c>
      <x:c r="B1286">
        <x:v>98543662530560</x:v>
      </x:c>
      <x:c r="C1286" t="s">
        <x:v>10</x:v>
      </x:c>
      <x:c r="D1286" t="s">
        <x:v>11</x:v>
      </x:c>
      <x:c r="E1286" t="s">
        <x:v>290</x:v>
      </x:c>
      <x:c r="F1286" t="s">
        <x:v>33</x:v>
      </x:c>
      <x:c r="G1286" t="s">
        <x:v>14</x:v>
      </x:c>
      <x:c r="H1286" t="s">
        <x:v>34</x:v>
      </x:c>
      <x:c r="I1286" t="s">
        <x:v>16</x:v>
      </x:c>
    </x:row>
    <x:row r="1287">
      <x:c r="A1287" t="s">
        <x:v>9</x:v>
      </x:c>
      <x:c r="B1287">
        <x:v>0.86439421114208503</x:v>
      </x:c>
      <x:c r="C1287" t="s">
        <x:v>10</x:v>
      </x:c>
      <x:c r="D1287" t="s">
        <x:v>21</x:v>
      </x:c>
      <x:c r="E1287" t="s">
        <x:v>291</x:v>
      </x:c>
      <x:c r="F1287" t="s">
        <x:v>33</x:v>
      </x:c>
      <x:c r="G1287" t="s">
        <x:v>14</x:v>
      </x:c>
      <x:c r="H1287" t="s">
        <x:v>34</x:v>
      </x:c>
      <x:c r="I1287" t="s">
        <x:v>16</x:v>
      </x:c>
    </x:row>
    <x:row r="1288">
      <x:c r="A1288" t="s">
        <x:v>17</x:v>
      </x:c>
      <x:c r="B1288">
        <x:v>0.54148769378662098</x:v>
      </x:c>
      <x:c r="C1288" t="s">
        <x:v>10</x:v>
      </x:c>
      <x:c r="D1288" t="s">
        <x:v>21</x:v>
      </x:c>
      <x:c r="E1288" t="s">
        <x:v>291</x:v>
      </x:c>
      <x:c r="F1288" t="s">
        <x:v>33</x:v>
      </x:c>
      <x:c r="G1288" t="s">
        <x:v>14</x:v>
      </x:c>
      <x:c r="H1288" t="s">
        <x:v>34</x:v>
      </x:c>
      <x:c r="I1288" t="s">
        <x:v>16</x:v>
      </x:c>
    </x:row>
    <x:row r="1289">
      <x:c r="A1289" t="s">
        <x:v>18</x:v>
      </x:c>
      <x:c r="B1289">
        <x:v>0.50825685262679998</x:v>
      </x:c>
      <x:c r="C1289" t="s">
        <x:v>10</x:v>
      </x:c>
      <x:c r="D1289" t="s">
        <x:v>21</x:v>
      </x:c>
      <x:c r="E1289" t="s">
        <x:v>291</x:v>
      </x:c>
      <x:c r="F1289" t="s">
        <x:v>33</x:v>
      </x:c>
      <x:c r="G1289" t="s">
        <x:v>14</x:v>
      </x:c>
      <x:c r="H1289" t="s">
        <x:v>34</x:v>
      </x:c>
      <x:c r="I1289" t="s">
        <x:v>16</x:v>
      </x:c>
    </x:row>
    <x:row r="1290">
      <x:c r="A1290" t="s">
        <x:v>19</x:v>
      </x:c>
      <x:c r="B1290">
        <x:v>0.71292135094048104</x:v>
      </x:c>
      <x:c r="C1290" t="s">
        <x:v>10</x:v>
      </x:c>
      <x:c r="D1290" t="s">
        <x:v>21</x:v>
      </x:c>
      <x:c r="E1290" t="s">
        <x:v>291</x:v>
      </x:c>
      <x:c r="F1290" t="s">
        <x:v>33</x:v>
      </x:c>
      <x:c r="G1290" t="s">
        <x:v>14</x:v>
      </x:c>
      <x:c r="H1290" t="s">
        <x:v>34</x:v>
      </x:c>
      <x:c r="I1290" t="s">
        <x:v>16</x:v>
      </x:c>
    </x:row>
    <x:row r="1291">
      <x:c r="A1291" t="s">
        <x:v>20</x:v>
      </x:c>
      <x:c r="B1291">
        <x:v>98543662530560</x:v>
      </x:c>
      <x:c r="C1291" t="s">
        <x:v>10</x:v>
      </x:c>
      <x:c r="D1291" t="s">
        <x:v>21</x:v>
      </x:c>
      <x:c r="E1291" t="s">
        <x:v>291</x:v>
      </x:c>
      <x:c r="F1291" t="s">
        <x:v>33</x:v>
      </x:c>
      <x:c r="G1291" t="s">
        <x:v>14</x:v>
      </x:c>
      <x:c r="H1291" t="s">
        <x:v>34</x:v>
      </x:c>
      <x:c r="I1291" t="s">
        <x:v>16</x:v>
      </x:c>
    </x:row>
    <x:row r="1292">
      <x:c r="A1292" t="s">
        <x:v>9</x:v>
      </x:c>
      <x:c r="B1292">
        <x:v>0.90256052102735296</x:v>
      </x:c>
      <x:c r="C1292" t="s">
        <x:v>23</x:v>
      </x:c>
      <x:c r="D1292" t="s">
        <x:v>21</x:v>
      </x:c>
      <x:c r="E1292" t="s">
        <x:v>292</x:v>
      </x:c>
      <x:c r="F1292" t="s">
        <x:v>33</x:v>
      </x:c>
      <x:c r="G1292" t="s">
        <x:v>14</x:v>
      </x:c>
      <x:c r="H1292" t="s">
        <x:v>34</x:v>
      </x:c>
      <x:c r="I1292" t="s">
        <x:v>16</x:v>
      </x:c>
    </x:row>
    <x:row r="1293">
      <x:c r="A1293" t="s">
        <x:v>17</x:v>
      </x:c>
      <x:c r="B1293">
        <x:v>0.25601321458816501</x:v>
      </x:c>
      <x:c r="C1293" t="s">
        <x:v>23</x:v>
      </x:c>
      <x:c r="D1293" t="s">
        <x:v>21</x:v>
      </x:c>
      <x:c r="E1293" t="s">
        <x:v>292</x:v>
      </x:c>
      <x:c r="F1293" t="s">
        <x:v>33</x:v>
      </x:c>
      <x:c r="G1293" t="s">
        <x:v>14</x:v>
      </x:c>
      <x:c r="H1293" t="s">
        <x:v>34</x:v>
      </x:c>
      <x:c r="I1293" t="s">
        <x:v>16</x:v>
      </x:c>
    </x:row>
    <x:row r="1294">
      <x:c r="A1294" t="s">
        <x:v>18</x:v>
      </x:c>
      <x:c r="B1294">
        <x:v>0.175225108861923</x:v>
      </x:c>
      <x:c r="C1294" t="s">
        <x:v>23</x:v>
      </x:c>
      <x:c r="D1294" t="s">
        <x:v>21</x:v>
      </x:c>
      <x:c r="E1294" t="s">
        <x:v>292</x:v>
      </x:c>
      <x:c r="F1294" t="s">
        <x:v>33</x:v>
      </x:c>
      <x:c r="G1294" t="s">
        <x:v>14</x:v>
      </x:c>
      <x:c r="H1294" t="s">
        <x:v>34</x:v>
      </x:c>
      <x:c r="I1294" t="s">
        <x:v>16</x:v>
      </x:c>
    </x:row>
    <x:row r="1295">
      <x:c r="A1295" t="s">
        <x:v>19</x:v>
      </x:c>
      <x:c r="B1295">
        <x:v>0.41859898335032197</x:v>
      </x:c>
      <x:c r="C1295" t="s">
        <x:v>23</x:v>
      </x:c>
      <x:c r="D1295" t="s">
        <x:v>21</x:v>
      </x:c>
      <x:c r="E1295" t="s">
        <x:v>292</x:v>
      </x:c>
      <x:c r="F1295" t="s">
        <x:v>33</x:v>
      </x:c>
      <x:c r="G1295" t="s">
        <x:v>14</x:v>
      </x:c>
      <x:c r="H1295" t="s">
        <x:v>34</x:v>
      </x:c>
      <x:c r="I1295" t="s">
        <x:v>16</x:v>
      </x:c>
    </x:row>
    <x:row r="1296">
      <x:c r="A1296" t="s">
        <x:v>20</x:v>
      </x:c>
      <x:c r="B1296">
        <x:v>94066494668800</x:v>
      </x:c>
      <x:c r="C1296" t="s">
        <x:v>23</x:v>
      </x:c>
      <x:c r="D1296" t="s">
        <x:v>21</x:v>
      </x:c>
      <x:c r="E1296" t="s">
        <x:v>292</x:v>
      </x:c>
      <x:c r="F1296" t="s">
        <x:v>33</x:v>
      </x:c>
      <x:c r="G1296" t="s">
        <x:v>14</x:v>
      </x:c>
      <x:c r="H1296" t="s">
        <x:v>34</x:v>
      </x:c>
      <x:c r="I1296" t="s">
        <x:v>16</x:v>
      </x:c>
    </x:row>
    <x:row r="1297">
      <x:c r="A1297" t="s">
        <x:v>9</x:v>
      </x:c>
      <x:c r="B1297">
        <x:v>0.90256052102735296</x:v>
      </x:c>
      <x:c r="C1297" t="s">
        <x:v>23</x:v>
      </x:c>
      <x:c r="D1297" t="s">
        <x:v>11</x:v>
      </x:c>
      <x:c r="E1297" t="s">
        <x:v>293</x:v>
      </x:c>
      <x:c r="F1297" t="s">
        <x:v>33</x:v>
      </x:c>
      <x:c r="G1297" t="s">
        <x:v>14</x:v>
      </x:c>
      <x:c r="H1297" t="s">
        <x:v>34</x:v>
      </x:c>
      <x:c r="I1297" t="s">
        <x:v>16</x:v>
      </x:c>
    </x:row>
    <x:row r="1298">
      <x:c r="A1298" t="s">
        <x:v>17</x:v>
      </x:c>
      <x:c r="B1298">
        <x:v>0.25601321458816501</x:v>
      </x:c>
      <x:c r="C1298" t="s">
        <x:v>23</x:v>
      </x:c>
      <x:c r="D1298" t="s">
        <x:v>11</x:v>
      </x:c>
      <x:c r="E1298" t="s">
        <x:v>293</x:v>
      </x:c>
      <x:c r="F1298" t="s">
        <x:v>33</x:v>
      </x:c>
      <x:c r="G1298" t="s">
        <x:v>14</x:v>
      </x:c>
      <x:c r="H1298" t="s">
        <x:v>34</x:v>
      </x:c>
      <x:c r="I1298" t="s">
        <x:v>16</x:v>
      </x:c>
    </x:row>
    <x:row r="1299">
      <x:c r="A1299" t="s">
        <x:v>18</x:v>
      </x:c>
      <x:c r="B1299">
        <x:v>0.175225108861923</x:v>
      </x:c>
      <x:c r="C1299" t="s">
        <x:v>23</x:v>
      </x:c>
      <x:c r="D1299" t="s">
        <x:v>11</x:v>
      </x:c>
      <x:c r="E1299" t="s">
        <x:v>293</x:v>
      </x:c>
      <x:c r="F1299" t="s">
        <x:v>33</x:v>
      </x:c>
      <x:c r="G1299" t="s">
        <x:v>14</x:v>
      </x:c>
      <x:c r="H1299" t="s">
        <x:v>34</x:v>
      </x:c>
      <x:c r="I1299" t="s">
        <x:v>16</x:v>
      </x:c>
    </x:row>
    <x:row r="1300">
      <x:c r="A1300" t="s">
        <x:v>19</x:v>
      </x:c>
      <x:c r="B1300">
        <x:v>0.41859898335032197</x:v>
      </x:c>
      <x:c r="C1300" t="s">
        <x:v>23</x:v>
      </x:c>
      <x:c r="D1300" t="s">
        <x:v>11</x:v>
      </x:c>
      <x:c r="E1300" t="s">
        <x:v>293</x:v>
      </x:c>
      <x:c r="F1300" t="s">
        <x:v>33</x:v>
      </x:c>
      <x:c r="G1300" t="s">
        <x:v>14</x:v>
      </x:c>
      <x:c r="H1300" t="s">
        <x:v>34</x:v>
      </x:c>
      <x:c r="I1300" t="s">
        <x:v>16</x:v>
      </x:c>
    </x:row>
    <x:row r="1301">
      <x:c r="A1301" t="s">
        <x:v>20</x:v>
      </x:c>
      <x:c r="B1301">
        <x:v>94066494668800</x:v>
      </x:c>
      <x:c r="C1301" t="s">
        <x:v>23</x:v>
      </x:c>
      <x:c r="D1301" t="s">
        <x:v>11</x:v>
      </x:c>
      <x:c r="E1301" t="s">
        <x:v>293</x:v>
      </x:c>
      <x:c r="F1301" t="s">
        <x:v>33</x:v>
      </x:c>
      <x:c r="G1301" t="s">
        <x:v>14</x:v>
      </x:c>
      <x:c r="H1301" t="s">
        <x:v>34</x:v>
      </x:c>
      <x:c r="I1301" t="s">
        <x:v>16</x:v>
      </x:c>
    </x:row>
    <x:row r="1302">
      <x:c r="A1302" t="s">
        <x:v>9</x:v>
      </x:c>
      <x:c r="B1302">
        <x:v>0.94434269903635404</x:v>
      </x:c>
      <x:c r="C1302" t="s">
        <x:v>10</x:v>
      </x:c>
      <x:c r="D1302" t="s">
        <x:v>11</x:v>
      </x:c>
      <x:c r="E1302" t="s">
        <x:v>294</x:v>
      </x:c>
      <x:c r="F1302" t="s">
        <x:v>33</x:v>
      </x:c>
      <x:c r="G1302" t="s">
        <x:v>27</x:v>
      </x:c>
      <x:c r="H1302" t="s">
        <x:v>34</x:v>
      </x:c>
      <x:c r="I1302" t="s">
        <x:v>40</x:v>
      </x:c>
    </x:row>
    <x:row r="1303">
      <x:c r="A1303" t="s">
        <x:v>17</x:v>
      </x:c>
      <x:c r="B1303">
        <x:v>0.15291093289852101</x:v>
      </x:c>
      <x:c r="C1303" t="s">
        <x:v>10</x:v>
      </x:c>
      <x:c r="D1303" t="s">
        <x:v>11</x:v>
      </x:c>
      <x:c r="E1303" t="s">
        <x:v>294</x:v>
      </x:c>
      <x:c r="F1303" t="s">
        <x:v>33</x:v>
      </x:c>
      <x:c r="G1303" t="s">
        <x:v>27</x:v>
      </x:c>
      <x:c r="H1303" t="s">
        <x:v>34</x:v>
      </x:c>
      <x:c r="I1303" t="s">
        <x:v>40</x:v>
      </x:c>
    </x:row>
    <x:row r="1304">
      <x:c r="A1304" t="s">
        <x:v>18</x:v>
      </x:c>
      <x:c r="B1304">
        <x:v>5.57210035622119E-2</x:v>
      </x:c>
      <x:c r="C1304" t="s">
        <x:v>10</x:v>
      </x:c>
      <x:c r="D1304" t="s">
        <x:v>11</x:v>
      </x:c>
      <x:c r="E1304" t="s">
        <x:v>294</x:v>
      </x:c>
      <x:c r="F1304" t="s">
        <x:v>33</x:v>
      </x:c>
      <x:c r="G1304" t="s">
        <x:v>27</x:v>
      </x:c>
      <x:c r="H1304" t="s">
        <x:v>34</x:v>
      </x:c>
      <x:c r="I1304" t="s">
        <x:v>40</x:v>
      </x:c>
    </x:row>
    <x:row r="1305">
      <x:c r="A1305" t="s">
        <x:v>19</x:v>
      </x:c>
      <x:c r="B1305">
        <x:v>0.236052967704733</x:v>
      </x:c>
      <x:c r="C1305" t="s">
        <x:v>10</x:v>
      </x:c>
      <x:c r="D1305" t="s">
        <x:v>11</x:v>
      </x:c>
      <x:c r="E1305" t="s">
        <x:v>294</x:v>
      </x:c>
      <x:c r="F1305" t="s">
        <x:v>33</x:v>
      </x:c>
      <x:c r="G1305" t="s">
        <x:v>27</x:v>
      </x:c>
      <x:c r="H1305" t="s">
        <x:v>34</x:v>
      </x:c>
      <x:c r="I1305" t="s">
        <x:v>40</x:v>
      </x:c>
    </x:row>
    <x:row r="1306">
      <x:c r="A1306" t="s">
        <x:v>20</x:v>
      </x:c>
      <x:c r="B1306">
        <x:v>103035040694272</x:v>
      </x:c>
      <x:c r="C1306" t="s">
        <x:v>10</x:v>
      </x:c>
      <x:c r="D1306" t="s">
        <x:v>11</x:v>
      </x:c>
      <x:c r="E1306" t="s">
        <x:v>294</x:v>
      </x:c>
      <x:c r="F1306" t="s">
        <x:v>33</x:v>
      </x:c>
      <x:c r="G1306" t="s">
        <x:v>27</x:v>
      </x:c>
      <x:c r="H1306" t="s">
        <x:v>34</x:v>
      </x:c>
      <x:c r="I1306" t="s">
        <x:v>40</x:v>
      </x:c>
    </x:row>
    <x:row r="1307">
      <x:c r="A1307" t="s">
        <x:v>9</x:v>
      </x:c>
      <x:c r="B1307">
        <x:v>0.94434269903635404</x:v>
      </x:c>
      <x:c r="C1307" t="s">
        <x:v>10</x:v>
      </x:c>
      <x:c r="D1307" t="s">
        <x:v>21</x:v>
      </x:c>
      <x:c r="E1307" t="s">
        <x:v>295</x:v>
      </x:c>
      <x:c r="F1307" t="s">
        <x:v>33</x:v>
      </x:c>
      <x:c r="G1307" t="s">
        <x:v>27</x:v>
      </x:c>
      <x:c r="H1307" t="s">
        <x:v>34</x:v>
      </x:c>
      <x:c r="I1307" t="s">
        <x:v>40</x:v>
      </x:c>
    </x:row>
    <x:row r="1308">
      <x:c r="A1308" t="s">
        <x:v>17</x:v>
      </x:c>
      <x:c r="B1308">
        <x:v>0.15291093289852101</x:v>
      </x:c>
      <x:c r="C1308" t="s">
        <x:v>10</x:v>
      </x:c>
      <x:c r="D1308" t="s">
        <x:v>21</x:v>
      </x:c>
      <x:c r="E1308" t="s">
        <x:v>295</x:v>
      </x:c>
      <x:c r="F1308" t="s">
        <x:v>33</x:v>
      </x:c>
      <x:c r="G1308" t="s">
        <x:v>27</x:v>
      </x:c>
      <x:c r="H1308" t="s">
        <x:v>34</x:v>
      </x:c>
      <x:c r="I1308" t="s">
        <x:v>40</x:v>
      </x:c>
    </x:row>
    <x:row r="1309">
      <x:c r="A1309" t="s">
        <x:v>18</x:v>
      </x:c>
      <x:c r="B1309">
        <x:v>5.57210035622119E-2</x:v>
      </x:c>
      <x:c r="C1309" t="s">
        <x:v>10</x:v>
      </x:c>
      <x:c r="D1309" t="s">
        <x:v>21</x:v>
      </x:c>
      <x:c r="E1309" t="s">
        <x:v>295</x:v>
      </x:c>
      <x:c r="F1309" t="s">
        <x:v>33</x:v>
      </x:c>
      <x:c r="G1309" t="s">
        <x:v>27</x:v>
      </x:c>
      <x:c r="H1309" t="s">
        <x:v>34</x:v>
      </x:c>
      <x:c r="I1309" t="s">
        <x:v>40</x:v>
      </x:c>
    </x:row>
    <x:row r="1310">
      <x:c r="A1310" t="s">
        <x:v>19</x:v>
      </x:c>
      <x:c r="B1310">
        <x:v>0.236052967704733</x:v>
      </x:c>
      <x:c r="C1310" t="s">
        <x:v>10</x:v>
      </x:c>
      <x:c r="D1310" t="s">
        <x:v>21</x:v>
      </x:c>
      <x:c r="E1310" t="s">
        <x:v>295</x:v>
      </x:c>
      <x:c r="F1310" t="s">
        <x:v>33</x:v>
      </x:c>
      <x:c r="G1310" t="s">
        <x:v>27</x:v>
      </x:c>
      <x:c r="H1310" t="s">
        <x:v>34</x:v>
      </x:c>
      <x:c r="I1310" t="s">
        <x:v>40</x:v>
      </x:c>
    </x:row>
    <x:row r="1311">
      <x:c r="A1311" t="s">
        <x:v>20</x:v>
      </x:c>
      <x:c r="B1311">
        <x:v>103035040694272</x:v>
      </x:c>
      <x:c r="C1311" t="s">
        <x:v>10</x:v>
      </x:c>
      <x:c r="D1311" t="s">
        <x:v>21</x:v>
      </x:c>
      <x:c r="E1311" t="s">
        <x:v>295</x:v>
      </x:c>
      <x:c r="F1311" t="s">
        <x:v>33</x:v>
      </x:c>
      <x:c r="G1311" t="s">
        <x:v>27</x:v>
      </x:c>
      <x:c r="H1311" t="s">
        <x:v>34</x:v>
      </x:c>
      <x:c r="I1311" t="s">
        <x:v>40</x:v>
      </x:c>
    </x:row>
    <x:row r="1312">
      <x:c r="A1312" t="s">
        <x:v>9</x:v>
      </x:c>
      <x:c r="B1312">
        <x:v>0.89855736539624897</x:v>
      </x:c>
      <x:c r="C1312" t="s">
        <x:v>23</x:v>
      </x:c>
      <x:c r="D1312" t="s">
        <x:v>21</x:v>
      </x:c>
      <x:c r="E1312" t="s">
        <x:v>296</x:v>
      </x:c>
      <x:c r="F1312" t="s">
        <x:v>33</x:v>
      </x:c>
      <x:c r="G1312" t="s">
        <x:v>27</x:v>
      </x:c>
      <x:c r="H1312" t="s">
        <x:v>34</x:v>
      </x:c>
      <x:c r="I1312" t="s">
        <x:v>40</x:v>
      </x:c>
    </x:row>
    <x:row r="1313">
      <x:c r="A1313" t="s">
        <x:v>17</x:v>
      </x:c>
      <x:c r="B1313">
        <x:v>0.31942710280418302</x:v>
      </x:c>
      <x:c r="C1313" t="s">
        <x:v>23</x:v>
      </x:c>
      <x:c r="D1313" t="s">
        <x:v>21</x:v>
      </x:c>
      <x:c r="E1313" t="s">
        <x:v>296</x:v>
      </x:c>
      <x:c r="F1313" t="s">
        <x:v>33</x:v>
      </x:c>
      <x:c r="G1313" t="s">
        <x:v>27</x:v>
      </x:c>
      <x:c r="H1313" t="s">
        <x:v>34</x:v>
      </x:c>
      <x:c r="I1313" t="s">
        <x:v>40</x:v>
      </x:c>
    </x:row>
    <x:row r="1314">
      <x:c r="A1314" t="s">
        <x:v>18</x:v>
      </x:c>
      <x:c r="B1314">
        <x:v>0.23425325751304599</x:v>
      </x:c>
      <x:c r="C1314" t="s">
        <x:v>23</x:v>
      </x:c>
      <x:c r="D1314" t="s">
        <x:v>21</x:v>
      </x:c>
      <x:c r="E1314" t="s">
        <x:v>296</x:v>
      </x:c>
      <x:c r="F1314" t="s">
        <x:v>33</x:v>
      </x:c>
      <x:c r="G1314" t="s">
        <x:v>27</x:v>
      </x:c>
      <x:c r="H1314" t="s">
        <x:v>34</x:v>
      </x:c>
      <x:c r="I1314" t="s">
        <x:v>40</x:v>
      </x:c>
    </x:row>
    <x:row r="1315">
      <x:c r="A1315" t="s">
        <x:v>19</x:v>
      </x:c>
      <x:c r="B1315">
        <x:v>0.48399716684402799</x:v>
      </x:c>
      <x:c r="C1315" t="s">
        <x:v>23</x:v>
      </x:c>
      <x:c r="D1315" t="s">
        <x:v>21</x:v>
      </x:c>
      <x:c r="E1315" t="s">
        <x:v>296</x:v>
      </x:c>
      <x:c r="F1315" t="s">
        <x:v>33</x:v>
      </x:c>
      <x:c r="G1315" t="s">
        <x:v>27</x:v>
      </x:c>
      <x:c r="H1315" t="s">
        <x:v>34</x:v>
      </x:c>
      <x:c r="I1315" t="s">
        <x:v>40</x:v>
      </x:c>
    </x:row>
    <x:row r="1316">
      <x:c r="A1316" t="s">
        <x:v>20</x:v>
      </x:c>
      <x:c r="B1316">
        <x:v>238852627234816</x:v>
      </x:c>
      <x:c r="C1316" t="s">
        <x:v>23</x:v>
      </x:c>
      <x:c r="D1316" t="s">
        <x:v>21</x:v>
      </x:c>
      <x:c r="E1316" t="s">
        <x:v>296</x:v>
      </x:c>
      <x:c r="F1316" t="s">
        <x:v>33</x:v>
      </x:c>
      <x:c r="G1316" t="s">
        <x:v>27</x:v>
      </x:c>
      <x:c r="H1316" t="s">
        <x:v>34</x:v>
      </x:c>
      <x:c r="I1316" t="s">
        <x:v>40</x:v>
      </x:c>
    </x:row>
    <x:row r="1317">
      <x:c r="A1317" t="s">
        <x:v>9</x:v>
      </x:c>
      <x:c r="B1317">
        <x:v>0.89855736539624897</x:v>
      </x:c>
      <x:c r="C1317" t="s">
        <x:v>23</x:v>
      </x:c>
      <x:c r="D1317" t="s">
        <x:v>11</x:v>
      </x:c>
      <x:c r="E1317" t="s">
        <x:v>297</x:v>
      </x:c>
      <x:c r="F1317" t="s">
        <x:v>33</x:v>
      </x:c>
      <x:c r="G1317" t="s">
        <x:v>27</x:v>
      </x:c>
      <x:c r="H1317" t="s">
        <x:v>34</x:v>
      </x:c>
      <x:c r="I1317" t="s">
        <x:v>40</x:v>
      </x:c>
    </x:row>
    <x:row r="1318">
      <x:c r="A1318" t="s">
        <x:v>17</x:v>
      </x:c>
      <x:c r="B1318">
        <x:v>0.31942710280418302</x:v>
      </x:c>
      <x:c r="C1318" t="s">
        <x:v>23</x:v>
      </x:c>
      <x:c r="D1318" t="s">
        <x:v>11</x:v>
      </x:c>
      <x:c r="E1318" t="s">
        <x:v>297</x:v>
      </x:c>
      <x:c r="F1318" t="s">
        <x:v>33</x:v>
      </x:c>
      <x:c r="G1318" t="s">
        <x:v>27</x:v>
      </x:c>
      <x:c r="H1318" t="s">
        <x:v>34</x:v>
      </x:c>
      <x:c r="I1318" t="s">
        <x:v>40</x:v>
      </x:c>
    </x:row>
    <x:row r="1319">
      <x:c r="A1319" t="s">
        <x:v>18</x:v>
      </x:c>
      <x:c r="B1319">
        <x:v>0.23425325751304599</x:v>
      </x:c>
      <x:c r="C1319" t="s">
        <x:v>23</x:v>
      </x:c>
      <x:c r="D1319" t="s">
        <x:v>11</x:v>
      </x:c>
      <x:c r="E1319" t="s">
        <x:v>297</x:v>
      </x:c>
      <x:c r="F1319" t="s">
        <x:v>33</x:v>
      </x:c>
      <x:c r="G1319" t="s">
        <x:v>27</x:v>
      </x:c>
      <x:c r="H1319" t="s">
        <x:v>34</x:v>
      </x:c>
      <x:c r="I1319" t="s">
        <x:v>40</x:v>
      </x:c>
    </x:row>
    <x:row r="1320">
      <x:c r="A1320" t="s">
        <x:v>19</x:v>
      </x:c>
      <x:c r="B1320">
        <x:v>0.48399716684402799</x:v>
      </x:c>
      <x:c r="C1320" t="s">
        <x:v>23</x:v>
      </x:c>
      <x:c r="D1320" t="s">
        <x:v>11</x:v>
      </x:c>
      <x:c r="E1320" t="s">
        <x:v>297</x:v>
      </x:c>
      <x:c r="F1320" t="s">
        <x:v>33</x:v>
      </x:c>
      <x:c r="G1320" t="s">
        <x:v>27</x:v>
      </x:c>
      <x:c r="H1320" t="s">
        <x:v>34</x:v>
      </x:c>
      <x:c r="I1320" t="s">
        <x:v>40</x:v>
      </x:c>
    </x:row>
    <x:row r="1321">
      <x:c r="A1321" t="s">
        <x:v>20</x:v>
      </x:c>
      <x:c r="B1321">
        <x:v>238852627234816</x:v>
      </x:c>
      <x:c r="C1321" t="s">
        <x:v>23</x:v>
      </x:c>
      <x:c r="D1321" t="s">
        <x:v>11</x:v>
      </x:c>
      <x:c r="E1321" t="s">
        <x:v>297</x:v>
      </x:c>
      <x:c r="F1321" t="s">
        <x:v>33</x:v>
      </x:c>
      <x:c r="G1321" t="s">
        <x:v>27</x:v>
      </x:c>
      <x:c r="H1321" t="s">
        <x:v>34</x:v>
      </x:c>
      <x:c r="I1321" t="s">
        <x:v>40</x:v>
      </x:c>
    </x:row>
    <x:row r="1322">
      <x:c r="A1322" t="s">
        <x:v>9</x:v>
      </x:c>
      <x:c r="B1322">
        <x:v>0.95347626035041699</x:v>
      </x:c>
      <x:c r="C1322" t="s">
        <x:v>10</x:v>
      </x:c>
      <x:c r="D1322" t="s">
        <x:v>11</x:v>
      </x:c>
      <x:c r="E1322" t="s">
        <x:v>298</x:v>
      </x:c>
      <x:c r="F1322" t="s">
        <x:v>13</x:v>
      </x:c>
      <x:c r="G1322" t="s">
        <x:v>27</x:v>
      </x:c>
      <x:c r="I1322" t="s">
        <x:v>16</x:v>
      </x:c>
    </x:row>
    <x:row r="1323">
      <x:c r="A1323" t="s">
        <x:v>17</x:v>
      </x:c>
      <x:c r="B1323">
        <x:v>0.106861732900142</x:v>
      </x:c>
      <x:c r="C1323" t="s">
        <x:v>10</x:v>
      </x:c>
      <x:c r="D1323" t="s">
        <x:v>11</x:v>
      </x:c>
      <x:c r="E1323" t="s">
        <x:v>298</x:v>
      </x:c>
      <x:c r="F1323" t="s">
        <x:v>13</x:v>
      </x:c>
      <x:c r="G1323" t="s">
        <x:v>27</x:v>
      </x:c>
      <x:c r="I1323" t="s">
        <x:v>16</x:v>
      </x:c>
    </x:row>
    <x:row r="1324">
      <x:c r="A1324" t="s">
        <x:v>18</x:v>
      </x:c>
      <x:c r="B1324">
        <x:v>3.2582253217697102E-2</x:v>
      </x:c>
      <x:c r="C1324" t="s">
        <x:v>10</x:v>
      </x:c>
      <x:c r="D1324" t="s">
        <x:v>11</x:v>
      </x:c>
      <x:c r="E1324" t="s">
        <x:v>298</x:v>
      </x:c>
      <x:c r="F1324" t="s">
        <x:v>13</x:v>
      </x:c>
      <x:c r="G1324" t="s">
        <x:v>27</x:v>
      </x:c>
      <x:c r="I1324" t="s">
        <x:v>16</x:v>
      </x:c>
    </x:row>
    <x:row r="1325">
      <x:c r="A1325" t="s">
        <x:v>19</x:v>
      </x:c>
      <x:c r="B1325">
        <x:v>0.18050554899419799</x:v>
      </x:c>
      <x:c r="C1325" t="s">
        <x:v>10</x:v>
      </x:c>
      <x:c r="D1325" t="s">
        <x:v>11</x:v>
      </x:c>
      <x:c r="E1325" t="s">
        <x:v>298</x:v>
      </x:c>
      <x:c r="F1325" t="s">
        <x:v>13</x:v>
      </x:c>
      <x:c r="G1325" t="s">
        <x:v>27</x:v>
      </x:c>
      <x:c r="I1325" t="s">
        <x:v>16</x:v>
      </x:c>
    </x:row>
    <x:row r="1326">
      <x:c r="A1326" t="s">
        <x:v>20</x:v>
      </x:c>
      <x:c r="B1326">
        <x:v>34442743644160</x:v>
      </x:c>
      <x:c r="C1326" t="s">
        <x:v>10</x:v>
      </x:c>
      <x:c r="D1326" t="s">
        <x:v>11</x:v>
      </x:c>
      <x:c r="E1326" t="s">
        <x:v>298</x:v>
      </x:c>
      <x:c r="F1326" t="s">
        <x:v>13</x:v>
      </x:c>
      <x:c r="G1326" t="s">
        <x:v>27</x:v>
      </x:c>
      <x:c r="I1326" t="s">
        <x:v>16</x:v>
      </x:c>
    </x:row>
    <x:row r="1327">
      <x:c r="A1327" t="s">
        <x:v>9</x:v>
      </x:c>
      <x:c r="B1327">
        <x:v>0.95347626035041699</x:v>
      </x:c>
      <x:c r="C1327" t="s">
        <x:v>10</x:v>
      </x:c>
      <x:c r="D1327" t="s">
        <x:v>21</x:v>
      </x:c>
      <x:c r="E1327" t="s">
        <x:v>299</x:v>
      </x:c>
      <x:c r="F1327" t="s">
        <x:v>13</x:v>
      </x:c>
      <x:c r="G1327" t="s">
        <x:v>27</x:v>
      </x:c>
      <x:c r="I1327" t="s">
        <x:v>16</x:v>
      </x:c>
    </x:row>
    <x:row r="1328">
      <x:c r="A1328" t="s">
        <x:v>17</x:v>
      </x:c>
      <x:c r="B1328">
        <x:v>0.106861732900142</x:v>
      </x:c>
      <x:c r="C1328" t="s">
        <x:v>10</x:v>
      </x:c>
      <x:c r="D1328" t="s">
        <x:v>21</x:v>
      </x:c>
      <x:c r="E1328" t="s">
        <x:v>299</x:v>
      </x:c>
      <x:c r="F1328" t="s">
        <x:v>13</x:v>
      </x:c>
      <x:c r="G1328" t="s">
        <x:v>27</x:v>
      </x:c>
      <x:c r="I1328" t="s">
        <x:v>16</x:v>
      </x:c>
    </x:row>
    <x:row r="1329">
      <x:c r="A1329" t="s">
        <x:v>18</x:v>
      </x:c>
      <x:c r="B1329">
        <x:v>3.2582253217697102E-2</x:v>
      </x:c>
      <x:c r="C1329" t="s">
        <x:v>10</x:v>
      </x:c>
      <x:c r="D1329" t="s">
        <x:v>21</x:v>
      </x:c>
      <x:c r="E1329" t="s">
        <x:v>299</x:v>
      </x:c>
      <x:c r="F1329" t="s">
        <x:v>13</x:v>
      </x:c>
      <x:c r="G1329" t="s">
        <x:v>27</x:v>
      </x:c>
      <x:c r="I1329" t="s">
        <x:v>16</x:v>
      </x:c>
    </x:row>
    <x:row r="1330">
      <x:c r="A1330" t="s">
        <x:v>19</x:v>
      </x:c>
      <x:c r="B1330">
        <x:v>0.18050554899419799</x:v>
      </x:c>
      <x:c r="C1330" t="s">
        <x:v>10</x:v>
      </x:c>
      <x:c r="D1330" t="s">
        <x:v>21</x:v>
      </x:c>
      <x:c r="E1330" t="s">
        <x:v>299</x:v>
      </x:c>
      <x:c r="F1330" t="s">
        <x:v>13</x:v>
      </x:c>
      <x:c r="G1330" t="s">
        <x:v>27</x:v>
      </x:c>
      <x:c r="I1330" t="s">
        <x:v>16</x:v>
      </x:c>
    </x:row>
    <x:row r="1331">
      <x:c r="A1331" t="s">
        <x:v>20</x:v>
      </x:c>
      <x:c r="B1331">
        <x:v>34442743644160</x:v>
      </x:c>
      <x:c r="C1331" t="s">
        <x:v>10</x:v>
      </x:c>
      <x:c r="D1331" t="s">
        <x:v>21</x:v>
      </x:c>
      <x:c r="E1331" t="s">
        <x:v>299</x:v>
      </x:c>
      <x:c r="F1331" t="s">
        <x:v>13</x:v>
      </x:c>
      <x:c r="G1331" t="s">
        <x:v>27</x:v>
      </x:c>
      <x:c r="I1331" t="s">
        <x:v>16</x:v>
      </x:c>
    </x:row>
    <x:row r="1332">
      <x:c r="A1332" t="s">
        <x:v>9</x:v>
      </x:c>
      <x:c r="B1332">
        <x:v>0.93240932311770397</x:v>
      </x:c>
      <x:c r="C1332" t="s">
        <x:v>23</x:v>
      </x:c>
      <x:c r="D1332" t="s">
        <x:v>21</x:v>
      </x:c>
      <x:c r="E1332" t="s">
        <x:v>300</x:v>
      </x:c>
      <x:c r="F1332" t="s">
        <x:v>13</x:v>
      </x:c>
      <x:c r="G1332" t="s">
        <x:v>27</x:v>
      </x:c>
      <x:c r="I1332" t="s">
        <x:v>16</x:v>
      </x:c>
    </x:row>
    <x:row r="1333">
      <x:c r="A1333" t="s">
        <x:v>17</x:v>
      </x:c>
      <x:c r="B1333">
        <x:v>0.20512889325618699</x:v>
      </x:c>
      <x:c r="C1333" t="s">
        <x:v>23</x:v>
      </x:c>
      <x:c r="D1333" t="s">
        <x:v>21</x:v>
      </x:c>
      <x:c r="E1333" t="s">
        <x:v>300</x:v>
      </x:c>
      <x:c r="F1333" t="s">
        <x:v>13</x:v>
      </x:c>
      <x:c r="G1333" t="s">
        <x:v>27</x:v>
      </x:c>
      <x:c r="I1333" t="s">
        <x:v>16</x:v>
      </x:c>
    </x:row>
    <x:row r="1334">
      <x:c r="A1334" t="s">
        <x:v>18</x:v>
      </x:c>
      <x:c r="B1334">
        <x:v>0.111915856599807</x:v>
      </x:c>
      <x:c r="C1334" t="s">
        <x:v>23</x:v>
      </x:c>
      <x:c r="D1334" t="s">
        <x:v>21</x:v>
      </x:c>
      <x:c r="E1334" t="s">
        <x:v>300</x:v>
      </x:c>
      <x:c r="F1334" t="s">
        <x:v>13</x:v>
      </x:c>
      <x:c r="G1334" t="s">
        <x:v>27</x:v>
      </x:c>
      <x:c r="I1334" t="s">
        <x:v>16</x:v>
      </x:c>
    </x:row>
    <x:row r="1335">
      <x:c r="A1335" t="s">
        <x:v>19</x:v>
      </x:c>
      <x:c r="B1335">
        <x:v>0.33453827374428702</x:v>
      </x:c>
      <x:c r="C1335" t="s">
        <x:v>23</x:v>
      </x:c>
      <x:c r="D1335" t="s">
        <x:v>21</x:v>
      </x:c>
      <x:c r="E1335" t="s">
        <x:v>300</x:v>
      </x:c>
      <x:c r="F1335" t="s">
        <x:v>13</x:v>
      </x:c>
      <x:c r="G1335" t="s">
        <x:v>27</x:v>
      </x:c>
      <x:c r="I1335" t="s">
        <x:v>16</x:v>
      </x:c>
    </x:row>
    <x:row r="1336">
      <x:c r="A1336" t="s">
        <x:v>20</x:v>
      </x:c>
      <x:c r="B1336">
        <x:v>175127979360256</x:v>
      </x:c>
      <x:c r="C1336" t="s">
        <x:v>23</x:v>
      </x:c>
      <x:c r="D1336" t="s">
        <x:v>21</x:v>
      </x:c>
      <x:c r="E1336" t="s">
        <x:v>300</x:v>
      </x:c>
      <x:c r="F1336" t="s">
        <x:v>13</x:v>
      </x:c>
      <x:c r="G1336" t="s">
        <x:v>27</x:v>
      </x:c>
      <x:c r="I1336" t="s">
        <x:v>16</x:v>
      </x:c>
    </x:row>
    <x:row r="1337">
      <x:c r="A1337" t="s">
        <x:v>9</x:v>
      </x:c>
      <x:c r="B1337">
        <x:v>0.93240932311770397</x:v>
      </x:c>
      <x:c r="C1337" t="s">
        <x:v>23</x:v>
      </x:c>
      <x:c r="D1337" t="s">
        <x:v>11</x:v>
      </x:c>
      <x:c r="E1337" t="s">
        <x:v>301</x:v>
      </x:c>
      <x:c r="F1337" t="s">
        <x:v>13</x:v>
      </x:c>
      <x:c r="G1337" t="s">
        <x:v>27</x:v>
      </x:c>
      <x:c r="I1337" t="s">
        <x:v>16</x:v>
      </x:c>
    </x:row>
    <x:row r="1338">
      <x:c r="A1338" t="s">
        <x:v>17</x:v>
      </x:c>
      <x:c r="B1338">
        <x:v>0.20512889325618699</x:v>
      </x:c>
      <x:c r="C1338" t="s">
        <x:v>23</x:v>
      </x:c>
      <x:c r="D1338" t="s">
        <x:v>11</x:v>
      </x:c>
      <x:c r="E1338" t="s">
        <x:v>301</x:v>
      </x:c>
      <x:c r="F1338" t="s">
        <x:v>13</x:v>
      </x:c>
      <x:c r="G1338" t="s">
        <x:v>27</x:v>
      </x:c>
      <x:c r="I1338" t="s">
        <x:v>16</x:v>
      </x:c>
    </x:row>
    <x:row r="1339">
      <x:c r="A1339" t="s">
        <x:v>18</x:v>
      </x:c>
      <x:c r="B1339">
        <x:v>0.111915856599807</x:v>
      </x:c>
      <x:c r="C1339" t="s">
        <x:v>23</x:v>
      </x:c>
      <x:c r="D1339" t="s">
        <x:v>11</x:v>
      </x:c>
      <x:c r="E1339" t="s">
        <x:v>301</x:v>
      </x:c>
      <x:c r="F1339" t="s">
        <x:v>13</x:v>
      </x:c>
      <x:c r="G1339" t="s">
        <x:v>27</x:v>
      </x:c>
      <x:c r="I1339" t="s">
        <x:v>16</x:v>
      </x:c>
    </x:row>
    <x:row r="1340">
      <x:c r="A1340" t="s">
        <x:v>19</x:v>
      </x:c>
      <x:c r="B1340">
        <x:v>0.33453827374428702</x:v>
      </x:c>
      <x:c r="C1340" t="s">
        <x:v>23</x:v>
      </x:c>
      <x:c r="D1340" t="s">
        <x:v>11</x:v>
      </x:c>
      <x:c r="E1340" t="s">
        <x:v>301</x:v>
      </x:c>
      <x:c r="F1340" t="s">
        <x:v>13</x:v>
      </x:c>
      <x:c r="G1340" t="s">
        <x:v>27</x:v>
      </x:c>
      <x:c r="I1340" t="s">
        <x:v>16</x:v>
      </x:c>
    </x:row>
    <x:row r="1341">
      <x:c r="A1341" t="s">
        <x:v>20</x:v>
      </x:c>
      <x:c r="B1341">
        <x:v>175127979360256</x:v>
      </x:c>
      <x:c r="C1341" t="s">
        <x:v>23</x:v>
      </x:c>
      <x:c r="D1341" t="s">
        <x:v>11</x:v>
      </x:c>
      <x:c r="E1341" t="s">
        <x:v>301</x:v>
      </x:c>
      <x:c r="F1341" t="s">
        <x:v>13</x:v>
      </x:c>
      <x:c r="G1341" t="s">
        <x:v>27</x:v>
      </x:c>
      <x:c r="I1341" t="s">
        <x:v>16</x:v>
      </x:c>
    </x:row>
    <x:row r="1342">
      <x:c r="A1342" t="s">
        <x:v>9</x:v>
      </x:c>
      <x:c r="B1342">
        <x:v>0.90701726118954495</x:v>
      </x:c>
      <x:c r="C1342" t="s">
        <x:v>10</x:v>
      </x:c>
      <x:c r="D1342" t="s">
        <x:v>11</x:v>
      </x:c>
      <x:c r="E1342" t="s">
        <x:v>302</x:v>
      </x:c>
      <x:c r="F1342" t="s">
        <x:v>33</x:v>
      </x:c>
      <x:c r="G1342" t="s">
        <x:v>14</x:v>
      </x:c>
      <x:c r="H1342" t="s">
        <x:v>34</x:v>
      </x:c>
      <x:c r="I1342" t="s">
        <x:v>87</x:v>
      </x:c>
    </x:row>
    <x:row r="1343">
      <x:c r="A1343" t="s">
        <x:v>17</x:v>
      </x:c>
      <x:c r="B1343">
        <x:v>0.28926524519920299</x:v>
      </x:c>
      <x:c r="C1343" t="s">
        <x:v>10</x:v>
      </x:c>
      <x:c r="D1343" t="s">
        <x:v>11</x:v>
      </x:c>
      <x:c r="E1343" t="s">
        <x:v>302</x:v>
      </x:c>
      <x:c r="F1343" t="s">
        <x:v>33</x:v>
      </x:c>
      <x:c r="G1343" t="s">
        <x:v>14</x:v>
      </x:c>
      <x:c r="H1343" t="s">
        <x:v>34</x:v>
      </x:c>
      <x:c r="I1343" t="s">
        <x:v>87</x:v>
      </x:c>
    </x:row>
    <x:row r="1344">
      <x:c r="A1344" t="s">
        <x:v>18</x:v>
      </x:c>
      <x:c r="B1344">
        <x:v>0.15351206064224199</x:v>
      </x:c>
      <x:c r="C1344" t="s">
        <x:v>10</x:v>
      </x:c>
      <x:c r="D1344" t="s">
        <x:v>11</x:v>
      </x:c>
      <x:c r="E1344" t="s">
        <x:v>302</x:v>
      </x:c>
      <x:c r="F1344" t="s">
        <x:v>33</x:v>
      </x:c>
      <x:c r="G1344" t="s">
        <x:v>14</x:v>
      </x:c>
      <x:c r="H1344" t="s">
        <x:v>34</x:v>
      </x:c>
      <x:c r="I1344" t="s">
        <x:v>87</x:v>
      </x:c>
    </x:row>
    <x:row r="1345">
      <x:c r="A1345" t="s">
        <x:v>19</x:v>
      </x:c>
      <x:c r="B1345">
        <x:v>0.39180615186880602</x:v>
      </x:c>
      <x:c r="C1345" t="s">
        <x:v>10</x:v>
      </x:c>
      <x:c r="D1345" t="s">
        <x:v>11</x:v>
      </x:c>
      <x:c r="E1345" t="s">
        <x:v>302</x:v>
      </x:c>
      <x:c r="F1345" t="s">
        <x:v>33</x:v>
      </x:c>
      <x:c r="G1345" t="s">
        <x:v>14</x:v>
      </x:c>
      <x:c r="H1345" t="s">
        <x:v>34</x:v>
      </x:c>
      <x:c r="I1345" t="s">
        <x:v>87</x:v>
      </x:c>
    </x:row>
    <x:row r="1346">
      <x:c r="A1346" t="s">
        <x:v>20</x:v>
      </x:c>
      <x:c r="B1346">
        <x:v>100941663567872</x:v>
      </x:c>
      <x:c r="C1346" t="s">
        <x:v>10</x:v>
      </x:c>
      <x:c r="D1346" t="s">
        <x:v>11</x:v>
      </x:c>
      <x:c r="E1346" t="s">
        <x:v>302</x:v>
      </x:c>
      <x:c r="F1346" t="s">
        <x:v>33</x:v>
      </x:c>
      <x:c r="G1346" t="s">
        <x:v>14</x:v>
      </x:c>
      <x:c r="H1346" t="s">
        <x:v>34</x:v>
      </x:c>
      <x:c r="I1346" t="s">
        <x:v>87</x:v>
      </x:c>
    </x:row>
    <x:row r="1347">
      <x:c r="A1347" t="s">
        <x:v>9</x:v>
      </x:c>
      <x:c r="B1347">
        <x:v>0.90701726118954495</x:v>
      </x:c>
      <x:c r="C1347" t="s">
        <x:v>10</x:v>
      </x:c>
      <x:c r="D1347" t="s">
        <x:v>21</x:v>
      </x:c>
      <x:c r="E1347" t="s">
        <x:v>303</x:v>
      </x:c>
      <x:c r="F1347" t="s">
        <x:v>33</x:v>
      </x:c>
      <x:c r="G1347" t="s">
        <x:v>14</x:v>
      </x:c>
      <x:c r="H1347" t="s">
        <x:v>34</x:v>
      </x:c>
      <x:c r="I1347" t="s">
        <x:v>87</x:v>
      </x:c>
    </x:row>
    <x:row r="1348">
      <x:c r="A1348" t="s">
        <x:v>17</x:v>
      </x:c>
      <x:c r="B1348">
        <x:v>0.28926524519920299</x:v>
      </x:c>
      <x:c r="C1348" t="s">
        <x:v>10</x:v>
      </x:c>
      <x:c r="D1348" t="s">
        <x:v>21</x:v>
      </x:c>
      <x:c r="E1348" t="s">
        <x:v>303</x:v>
      </x:c>
      <x:c r="F1348" t="s">
        <x:v>33</x:v>
      </x:c>
      <x:c r="G1348" t="s">
        <x:v>14</x:v>
      </x:c>
      <x:c r="H1348" t="s">
        <x:v>34</x:v>
      </x:c>
      <x:c r="I1348" t="s">
        <x:v>87</x:v>
      </x:c>
    </x:row>
    <x:row r="1349">
      <x:c r="A1349" t="s">
        <x:v>18</x:v>
      </x:c>
      <x:c r="B1349">
        <x:v>0.15351206064224199</x:v>
      </x:c>
      <x:c r="C1349" t="s">
        <x:v>10</x:v>
      </x:c>
      <x:c r="D1349" t="s">
        <x:v>21</x:v>
      </x:c>
      <x:c r="E1349" t="s">
        <x:v>303</x:v>
      </x:c>
      <x:c r="F1349" t="s">
        <x:v>33</x:v>
      </x:c>
      <x:c r="G1349" t="s">
        <x:v>14</x:v>
      </x:c>
      <x:c r="H1349" t="s">
        <x:v>34</x:v>
      </x:c>
      <x:c r="I1349" t="s">
        <x:v>87</x:v>
      </x:c>
    </x:row>
    <x:row r="1350">
      <x:c r="A1350" t="s">
        <x:v>19</x:v>
      </x:c>
      <x:c r="B1350">
        <x:v>0.39180615186880602</x:v>
      </x:c>
      <x:c r="C1350" t="s">
        <x:v>10</x:v>
      </x:c>
      <x:c r="D1350" t="s">
        <x:v>21</x:v>
      </x:c>
      <x:c r="E1350" t="s">
        <x:v>303</x:v>
      </x:c>
      <x:c r="F1350" t="s">
        <x:v>33</x:v>
      </x:c>
      <x:c r="G1350" t="s">
        <x:v>14</x:v>
      </x:c>
      <x:c r="H1350" t="s">
        <x:v>34</x:v>
      </x:c>
      <x:c r="I1350" t="s">
        <x:v>87</x:v>
      </x:c>
    </x:row>
    <x:row r="1351">
      <x:c r="A1351" t="s">
        <x:v>20</x:v>
      </x:c>
      <x:c r="B1351">
        <x:v>100941663567872</x:v>
      </x:c>
      <x:c r="C1351" t="s">
        <x:v>10</x:v>
      </x:c>
      <x:c r="D1351" t="s">
        <x:v>21</x:v>
      </x:c>
      <x:c r="E1351" t="s">
        <x:v>303</x:v>
      </x:c>
      <x:c r="F1351" t="s">
        <x:v>33</x:v>
      </x:c>
      <x:c r="G1351" t="s">
        <x:v>14</x:v>
      </x:c>
      <x:c r="H1351" t="s">
        <x:v>34</x:v>
      </x:c>
      <x:c r="I1351" t="s">
        <x:v>87</x:v>
      </x:c>
    </x:row>
    <x:row r="1352">
      <x:c r="A1352" t="s">
        <x:v>9</x:v>
      </x:c>
      <x:c r="B1352">
        <x:v>0.88669895558235201</x:v>
      </x:c>
      <x:c r="C1352" t="s">
        <x:v>23</x:v>
      </x:c>
      <x:c r="D1352" t="s">
        <x:v>21</x:v>
      </x:c>
      <x:c r="E1352" t="s">
        <x:v>304</x:v>
      </x:c>
      <x:c r="F1352" t="s">
        <x:v>33</x:v>
      </x:c>
      <x:c r="G1352" t="s">
        <x:v>14</x:v>
      </x:c>
      <x:c r="H1352" t="s">
        <x:v>34</x:v>
      </x:c>
      <x:c r="I1352" t="s">
        <x:v>87</x:v>
      </x:c>
    </x:row>
    <x:row r="1353">
      <x:c r="A1353" t="s">
        <x:v>17</x:v>
      </x:c>
      <x:c r="B1353">
        <x:v>0.278393894433975</x:v>
      </x:c>
      <x:c r="C1353" t="s">
        <x:v>23</x:v>
      </x:c>
      <x:c r="D1353" t="s">
        <x:v>21</x:v>
      </x:c>
      <x:c r="E1353" t="s">
        <x:v>304</x:v>
      </x:c>
      <x:c r="F1353" t="s">
        <x:v>33</x:v>
      </x:c>
      <x:c r="G1353" t="s">
        <x:v>14</x:v>
      </x:c>
      <x:c r="H1353" t="s">
        <x:v>34</x:v>
      </x:c>
      <x:c r="I1353" t="s">
        <x:v>87</x:v>
      </x:c>
    </x:row>
    <x:row r="1354">
      <x:c r="A1354" t="s">
        <x:v>18</x:v>
      </x:c>
      <x:c r="B1354">
        <x:v>0.18482090532779599</x:v>
      </x:c>
      <x:c r="C1354" t="s">
        <x:v>23</x:v>
      </x:c>
      <x:c r="D1354" t="s">
        <x:v>21</x:v>
      </x:c>
      <x:c r="E1354" t="s">
        <x:v>304</x:v>
      </x:c>
      <x:c r="F1354" t="s">
        <x:v>33</x:v>
      </x:c>
      <x:c r="G1354" t="s">
        <x:v>14</x:v>
      </x:c>
      <x:c r="H1354" t="s">
        <x:v>34</x:v>
      </x:c>
      <x:c r="I1354" t="s">
        <x:v>87</x:v>
      </x:c>
    </x:row>
    <x:row r="1355">
      <x:c r="A1355" t="s">
        <x:v>19</x:v>
      </x:c>
      <x:c r="B1355">
        <x:v>0.42990801961326203</x:v>
      </x:c>
      <x:c r="C1355" t="s">
        <x:v>23</x:v>
      </x:c>
      <x:c r="D1355" t="s">
        <x:v>21</x:v>
      </x:c>
      <x:c r="E1355" t="s">
        <x:v>304</x:v>
      </x:c>
      <x:c r="F1355" t="s">
        <x:v>33</x:v>
      </x:c>
      <x:c r="G1355" t="s">
        <x:v>14</x:v>
      </x:c>
      <x:c r="H1355" t="s">
        <x:v>34</x:v>
      </x:c>
      <x:c r="I1355" t="s">
        <x:v>87</x:v>
      </x:c>
    </x:row>
    <x:row r="1356">
      <x:c r="A1356" t="s">
        <x:v>20</x:v>
      </x:c>
      <x:c r="B1356">
        <x:v>292407950180352</x:v>
      </x:c>
      <x:c r="C1356" t="s">
        <x:v>23</x:v>
      </x:c>
      <x:c r="D1356" t="s">
        <x:v>21</x:v>
      </x:c>
      <x:c r="E1356" t="s">
        <x:v>304</x:v>
      </x:c>
      <x:c r="F1356" t="s">
        <x:v>33</x:v>
      </x:c>
      <x:c r="G1356" t="s">
        <x:v>14</x:v>
      </x:c>
      <x:c r="H1356" t="s">
        <x:v>34</x:v>
      </x:c>
      <x:c r="I1356" t="s">
        <x:v>87</x:v>
      </x:c>
    </x:row>
    <x:row r="1357">
      <x:c r="A1357" t="s">
        <x:v>9</x:v>
      </x:c>
      <x:c r="B1357">
        <x:v>0.88669895558235201</x:v>
      </x:c>
      <x:c r="C1357" t="s">
        <x:v>23</x:v>
      </x:c>
      <x:c r="D1357" t="s">
        <x:v>11</x:v>
      </x:c>
      <x:c r="E1357" t="s">
        <x:v>305</x:v>
      </x:c>
      <x:c r="F1357" t="s">
        <x:v>33</x:v>
      </x:c>
      <x:c r="G1357" t="s">
        <x:v>14</x:v>
      </x:c>
      <x:c r="H1357" t="s">
        <x:v>34</x:v>
      </x:c>
      <x:c r="I1357" t="s">
        <x:v>87</x:v>
      </x:c>
    </x:row>
    <x:row r="1358">
      <x:c r="A1358" t="s">
        <x:v>17</x:v>
      </x:c>
      <x:c r="B1358">
        <x:v>0.278393894433975</x:v>
      </x:c>
      <x:c r="C1358" t="s">
        <x:v>23</x:v>
      </x:c>
      <x:c r="D1358" t="s">
        <x:v>11</x:v>
      </x:c>
      <x:c r="E1358" t="s">
        <x:v>305</x:v>
      </x:c>
      <x:c r="F1358" t="s">
        <x:v>33</x:v>
      </x:c>
      <x:c r="G1358" t="s">
        <x:v>14</x:v>
      </x:c>
      <x:c r="H1358" t="s">
        <x:v>34</x:v>
      </x:c>
      <x:c r="I1358" t="s">
        <x:v>87</x:v>
      </x:c>
    </x:row>
    <x:row r="1359">
      <x:c r="A1359" t="s">
        <x:v>18</x:v>
      </x:c>
      <x:c r="B1359">
        <x:v>0.18482090532779599</x:v>
      </x:c>
      <x:c r="C1359" t="s">
        <x:v>23</x:v>
      </x:c>
      <x:c r="D1359" t="s">
        <x:v>11</x:v>
      </x:c>
      <x:c r="E1359" t="s">
        <x:v>305</x:v>
      </x:c>
      <x:c r="F1359" t="s">
        <x:v>33</x:v>
      </x:c>
      <x:c r="G1359" t="s">
        <x:v>14</x:v>
      </x:c>
      <x:c r="H1359" t="s">
        <x:v>34</x:v>
      </x:c>
      <x:c r="I1359" t="s">
        <x:v>87</x:v>
      </x:c>
    </x:row>
    <x:row r="1360">
      <x:c r="A1360" t="s">
        <x:v>19</x:v>
      </x:c>
      <x:c r="B1360">
        <x:v>0.42990801961326203</x:v>
      </x:c>
      <x:c r="C1360" t="s">
        <x:v>23</x:v>
      </x:c>
      <x:c r="D1360" t="s">
        <x:v>11</x:v>
      </x:c>
      <x:c r="E1360" t="s">
        <x:v>305</x:v>
      </x:c>
      <x:c r="F1360" t="s">
        <x:v>33</x:v>
      </x:c>
      <x:c r="G1360" t="s">
        <x:v>14</x:v>
      </x:c>
      <x:c r="H1360" t="s">
        <x:v>34</x:v>
      </x:c>
      <x:c r="I1360" t="s">
        <x:v>87</x:v>
      </x:c>
    </x:row>
    <x:row r="1361">
      <x:c r="A1361" t="s">
        <x:v>20</x:v>
      </x:c>
      <x:c r="B1361">
        <x:v>292407950180352</x:v>
      </x:c>
      <x:c r="C1361" t="s">
        <x:v>23</x:v>
      </x:c>
      <x:c r="D1361" t="s">
        <x:v>11</x:v>
      </x:c>
      <x:c r="E1361" t="s">
        <x:v>305</x:v>
      </x:c>
      <x:c r="F1361" t="s">
        <x:v>33</x:v>
      </x:c>
      <x:c r="G1361" t="s">
        <x:v>14</x:v>
      </x:c>
      <x:c r="H1361" t="s">
        <x:v>34</x:v>
      </x:c>
      <x:c r="I1361" t="s">
        <x:v>87</x:v>
      </x:c>
    </x:row>
    <x:row r="1362">
      <x:c r="A1362" t="s">
        <x:v>9</x:v>
      </x:c>
      <x:c r="B1362">
        <x:v>0.93360208271902401</x:v>
      </x:c>
      <x:c r="C1362" t="s">
        <x:v>10</x:v>
      </x:c>
      <x:c r="D1362" t="s">
        <x:v>11</x:v>
      </x:c>
      <x:c r="E1362" t="s">
        <x:v>306</x:v>
      </x:c>
      <x:c r="F1362" t="s">
        <x:v>13</x:v>
      </x:c>
      <x:c r="G1362" t="s">
        <x:v>27</x:v>
      </x:c>
      <x:c r="I1362" t="s">
        <x:v>87</x:v>
      </x:c>
    </x:row>
    <x:row r="1363">
      <x:c r="A1363" t="s">
        <x:v>17</x:v>
      </x:c>
      <x:c r="B1363">
        <x:v>0.351516842842102</x:v>
      </x:c>
      <x:c r="C1363" t="s">
        <x:v>10</x:v>
      </x:c>
      <x:c r="D1363" t="s">
        <x:v>11</x:v>
      </x:c>
      <x:c r="E1363" t="s">
        <x:v>306</x:v>
      </x:c>
      <x:c r="F1363" t="s">
        <x:v>13</x:v>
      </x:c>
      <x:c r="G1363" t="s">
        <x:v>27</x:v>
      </x:c>
      <x:c r="I1363" t="s">
        <x:v>87</x:v>
      </x:c>
    </x:row>
    <x:row r="1364">
      <x:c r="A1364" t="s">
        <x:v>18</x:v>
      </x:c>
      <x:c r="B1364">
        <x:v>0.22859279811382199</x:v>
      </x:c>
      <x:c r="C1364" t="s">
        <x:v>10</x:v>
      </x:c>
      <x:c r="D1364" t="s">
        <x:v>11</x:v>
      </x:c>
      <x:c r="E1364" t="s">
        <x:v>306</x:v>
      </x:c>
      <x:c r="F1364" t="s">
        <x:v>13</x:v>
      </x:c>
      <x:c r="G1364" t="s">
        <x:v>27</x:v>
      </x:c>
      <x:c r="I1364" t="s">
        <x:v>87</x:v>
      </x:c>
    </x:row>
    <x:row r="1365">
      <x:c r="A1365" t="s">
        <x:v>19</x:v>
      </x:c>
      <x:c r="B1365">
        <x:v>0.47811379201380799</x:v>
      </x:c>
      <x:c r="C1365" t="s">
        <x:v>10</x:v>
      </x:c>
      <x:c r="D1365" t="s">
        <x:v>11</x:v>
      </x:c>
      <x:c r="E1365" t="s">
        <x:v>306</x:v>
      </x:c>
      <x:c r="F1365" t="s">
        <x:v>13</x:v>
      </x:c>
      <x:c r="G1365" t="s">
        <x:v>27</x:v>
      </x:c>
      <x:c r="I1365" t="s">
        <x:v>87</x:v>
      </x:c>
    </x:row>
    <x:row r="1366">
      <x:c r="A1366" t="s">
        <x:v>20</x:v>
      </x:c>
      <x:c r="B1366">
        <x:v>26841557499904</x:v>
      </x:c>
      <x:c r="C1366" t="s">
        <x:v>10</x:v>
      </x:c>
      <x:c r="D1366" t="s">
        <x:v>11</x:v>
      </x:c>
      <x:c r="E1366" t="s">
        <x:v>306</x:v>
      </x:c>
      <x:c r="F1366" t="s">
        <x:v>13</x:v>
      </x:c>
      <x:c r="G1366" t="s">
        <x:v>27</x:v>
      </x:c>
      <x:c r="I1366" t="s">
        <x:v>87</x:v>
      </x:c>
    </x:row>
    <x:row r="1367">
      <x:c r="A1367" t="s">
        <x:v>9</x:v>
      </x:c>
      <x:c r="B1367">
        <x:v>0.93360208271902401</x:v>
      </x:c>
      <x:c r="C1367" t="s">
        <x:v>10</x:v>
      </x:c>
      <x:c r="D1367" t="s">
        <x:v>21</x:v>
      </x:c>
      <x:c r="E1367" t="s">
        <x:v>307</x:v>
      </x:c>
      <x:c r="F1367" t="s">
        <x:v>13</x:v>
      </x:c>
      <x:c r="G1367" t="s">
        <x:v>27</x:v>
      </x:c>
      <x:c r="I1367" t="s">
        <x:v>87</x:v>
      </x:c>
    </x:row>
    <x:row r="1368">
      <x:c r="A1368" t="s">
        <x:v>17</x:v>
      </x:c>
      <x:c r="B1368">
        <x:v>0.351516842842102</x:v>
      </x:c>
      <x:c r="C1368" t="s">
        <x:v>10</x:v>
      </x:c>
      <x:c r="D1368" t="s">
        <x:v>21</x:v>
      </x:c>
      <x:c r="E1368" t="s">
        <x:v>307</x:v>
      </x:c>
      <x:c r="F1368" t="s">
        <x:v>13</x:v>
      </x:c>
      <x:c r="G1368" t="s">
        <x:v>27</x:v>
      </x:c>
      <x:c r="I1368" t="s">
        <x:v>87</x:v>
      </x:c>
    </x:row>
    <x:row r="1369">
      <x:c r="A1369" t="s">
        <x:v>18</x:v>
      </x:c>
      <x:c r="B1369">
        <x:v>0.22859279811382199</x:v>
      </x:c>
      <x:c r="C1369" t="s">
        <x:v>10</x:v>
      </x:c>
      <x:c r="D1369" t="s">
        <x:v>21</x:v>
      </x:c>
      <x:c r="E1369" t="s">
        <x:v>307</x:v>
      </x:c>
      <x:c r="F1369" t="s">
        <x:v>13</x:v>
      </x:c>
      <x:c r="G1369" t="s">
        <x:v>27</x:v>
      </x:c>
      <x:c r="I1369" t="s">
        <x:v>87</x:v>
      </x:c>
    </x:row>
    <x:row r="1370">
      <x:c r="A1370" t="s">
        <x:v>19</x:v>
      </x:c>
      <x:c r="B1370">
        <x:v>0.47811379201380799</x:v>
      </x:c>
      <x:c r="C1370" t="s">
        <x:v>10</x:v>
      </x:c>
      <x:c r="D1370" t="s">
        <x:v>21</x:v>
      </x:c>
      <x:c r="E1370" t="s">
        <x:v>307</x:v>
      </x:c>
      <x:c r="F1370" t="s">
        <x:v>13</x:v>
      </x:c>
      <x:c r="G1370" t="s">
        <x:v>27</x:v>
      </x:c>
      <x:c r="I1370" t="s">
        <x:v>87</x:v>
      </x:c>
    </x:row>
    <x:row r="1371">
      <x:c r="A1371" t="s">
        <x:v>20</x:v>
      </x:c>
      <x:c r="B1371">
        <x:v>26841557499904</x:v>
      </x:c>
      <x:c r="C1371" t="s">
        <x:v>10</x:v>
      </x:c>
      <x:c r="D1371" t="s">
        <x:v>21</x:v>
      </x:c>
      <x:c r="E1371" t="s">
        <x:v>307</x:v>
      </x:c>
      <x:c r="F1371" t="s">
        <x:v>13</x:v>
      </x:c>
      <x:c r="G1371" t="s">
        <x:v>27</x:v>
      </x:c>
      <x:c r="I1371" t="s">
        <x:v>87</x:v>
      </x:c>
    </x:row>
    <x:row r="1372">
      <x:c r="A1372" t="s">
        <x:v>9</x:v>
      </x:c>
      <x:c r="B1372">
        <x:v>0.92236119765172897</x:v>
      </x:c>
      <x:c r="C1372" t="s">
        <x:v>23</x:v>
      </x:c>
      <x:c r="D1372" t="s">
        <x:v>21</x:v>
      </x:c>
      <x:c r="E1372" t="s">
        <x:v>308</x:v>
      </x:c>
      <x:c r="F1372" t="s">
        <x:v>13</x:v>
      </x:c>
      <x:c r="G1372" t="s">
        <x:v>27</x:v>
      </x:c>
      <x:c r="I1372" t="s">
        <x:v>87</x:v>
      </x:c>
    </x:row>
    <x:row r="1373">
      <x:c r="A1373" t="s">
        <x:v>17</x:v>
      </x:c>
      <x:c r="B1373">
        <x:v>0.24497613310813901</x:v>
      </x:c>
      <x:c r="C1373" t="s">
        <x:v>23</x:v>
      </x:c>
      <x:c r="D1373" t="s">
        <x:v>21</x:v>
      </x:c>
      <x:c r="E1373" t="s">
        <x:v>308</x:v>
      </x:c>
      <x:c r="F1373" t="s">
        <x:v>13</x:v>
      </x:c>
      <x:c r="G1373" t="s">
        <x:v>27</x:v>
      </x:c>
      <x:c r="I1373" t="s">
        <x:v>87</x:v>
      </x:c>
    </x:row>
    <x:row r="1374">
      <x:c r="A1374" t="s">
        <x:v>18</x:v>
      </x:c>
      <x:c r="B1374">
        <x:v>0.18713104724884</x:v>
      </x:c>
      <x:c r="C1374" t="s">
        <x:v>23</x:v>
      </x:c>
      <x:c r="D1374" t="s">
        <x:v>21</x:v>
      </x:c>
      <x:c r="E1374" t="s">
        <x:v>308</x:v>
      </x:c>
      <x:c r="F1374" t="s">
        <x:v>13</x:v>
      </x:c>
      <x:c r="G1374" t="s">
        <x:v>27</x:v>
      </x:c>
      <x:c r="I1374" t="s">
        <x:v>87</x:v>
      </x:c>
    </x:row>
    <x:row r="1375">
      <x:c r="A1375" t="s">
        <x:v>19</x:v>
      </x:c>
      <x:c r="B1375">
        <x:v>0.43258646216547297</x:v>
      </x:c>
      <x:c r="C1375" t="s">
        <x:v>23</x:v>
      </x:c>
      <x:c r="D1375" t="s">
        <x:v>21</x:v>
      </x:c>
      <x:c r="E1375" t="s">
        <x:v>308</x:v>
      </x:c>
      <x:c r="F1375" t="s">
        <x:v>13</x:v>
      </x:c>
      <x:c r="G1375" t="s">
        <x:v>27</x:v>
      </x:c>
      <x:c r="I1375" t="s">
        <x:v>87</x:v>
      </x:c>
    </x:row>
    <x:row r="1376">
      <x:c r="A1376" t="s">
        <x:v>20</x:v>
      </x:c>
      <x:c r="B1376">
        <x:v>97791481217024</x:v>
      </x:c>
      <x:c r="C1376" t="s">
        <x:v>23</x:v>
      </x:c>
      <x:c r="D1376" t="s">
        <x:v>21</x:v>
      </x:c>
      <x:c r="E1376" t="s">
        <x:v>308</x:v>
      </x:c>
      <x:c r="F1376" t="s">
        <x:v>13</x:v>
      </x:c>
      <x:c r="G1376" t="s">
        <x:v>27</x:v>
      </x:c>
      <x:c r="I1376" t="s">
        <x:v>87</x:v>
      </x:c>
    </x:row>
    <x:row r="1377">
      <x:c r="A1377" t="s">
        <x:v>9</x:v>
      </x:c>
      <x:c r="B1377">
        <x:v>0.92236119765172897</x:v>
      </x:c>
      <x:c r="C1377" t="s">
        <x:v>23</x:v>
      </x:c>
      <x:c r="D1377" t="s">
        <x:v>11</x:v>
      </x:c>
      <x:c r="E1377" t="s">
        <x:v>309</x:v>
      </x:c>
      <x:c r="F1377" t="s">
        <x:v>13</x:v>
      </x:c>
      <x:c r="G1377" t="s">
        <x:v>27</x:v>
      </x:c>
      <x:c r="I1377" t="s">
        <x:v>87</x:v>
      </x:c>
    </x:row>
    <x:row r="1378">
      <x:c r="A1378" t="s">
        <x:v>17</x:v>
      </x:c>
      <x:c r="B1378">
        <x:v>0.24497613310813901</x:v>
      </x:c>
      <x:c r="C1378" t="s">
        <x:v>23</x:v>
      </x:c>
      <x:c r="D1378" t="s">
        <x:v>11</x:v>
      </x:c>
      <x:c r="E1378" t="s">
        <x:v>309</x:v>
      </x:c>
      <x:c r="F1378" t="s">
        <x:v>13</x:v>
      </x:c>
      <x:c r="G1378" t="s">
        <x:v>27</x:v>
      </x:c>
      <x:c r="I1378" t="s">
        <x:v>87</x:v>
      </x:c>
    </x:row>
    <x:row r="1379">
      <x:c r="A1379" t="s">
        <x:v>18</x:v>
      </x:c>
      <x:c r="B1379">
        <x:v>0.18713104724884</x:v>
      </x:c>
      <x:c r="C1379" t="s">
        <x:v>23</x:v>
      </x:c>
      <x:c r="D1379" t="s">
        <x:v>11</x:v>
      </x:c>
      <x:c r="E1379" t="s">
        <x:v>309</x:v>
      </x:c>
      <x:c r="F1379" t="s">
        <x:v>13</x:v>
      </x:c>
      <x:c r="G1379" t="s">
        <x:v>27</x:v>
      </x:c>
      <x:c r="I1379" t="s">
        <x:v>87</x:v>
      </x:c>
    </x:row>
    <x:row r="1380">
      <x:c r="A1380" t="s">
        <x:v>19</x:v>
      </x:c>
      <x:c r="B1380">
        <x:v>0.43258646216547297</x:v>
      </x:c>
      <x:c r="C1380" t="s">
        <x:v>23</x:v>
      </x:c>
      <x:c r="D1380" t="s">
        <x:v>11</x:v>
      </x:c>
      <x:c r="E1380" t="s">
        <x:v>309</x:v>
      </x:c>
      <x:c r="F1380" t="s">
        <x:v>13</x:v>
      </x:c>
      <x:c r="G1380" t="s">
        <x:v>27</x:v>
      </x:c>
      <x:c r="I1380" t="s">
        <x:v>87</x:v>
      </x:c>
    </x:row>
    <x:row r="1381">
      <x:c r="A1381" t="s">
        <x:v>20</x:v>
      </x:c>
      <x:c r="B1381">
        <x:v>97791481217024</x:v>
      </x:c>
      <x:c r="C1381" t="s">
        <x:v>23</x:v>
      </x:c>
      <x:c r="D1381" t="s">
        <x:v>11</x:v>
      </x:c>
      <x:c r="E1381" t="s">
        <x:v>309</x:v>
      </x:c>
      <x:c r="F1381" t="s">
        <x:v>13</x:v>
      </x:c>
      <x:c r="G1381" t="s">
        <x:v>27</x:v>
      </x:c>
      <x:c r="I1381" t="s">
        <x:v>87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20"/>
  <x:sheetData>
    <x:row r="1">
      <x:c r="A1" t="s">
        <x:v>0</x:v>
      </x:c>
      <x:c r="B1" t="s">
        <x:v>1</x:v>
      </x:c>
      <x:c r="C1" t="s">
        <x:v>5</x:v>
      </x:c>
      <x:c r="D1" t="s">
        <x:v>6</x:v>
      </x:c>
      <x:c r="E1" t="s">
        <x:v>7</x:v>
      </x:c>
      <x:c r="F1" t="s">
        <x:v>8</x:v>
      </x:c>
    </x:row>
    <x:row r="2">
      <x:c r="A2" t="s">
        <x:v>17</x:v>
      </x:c>
      <x:c r="B2">
        <x:v>0.39041605591773898</x:v>
      </x:c>
      <x:c r="C2" t="s">
        <x:v>13</x:v>
      </x:c>
      <x:c r="D2" t="s">
        <x:v>14</x:v>
      </x:c>
      <x:c r="E2" t="s">
        <x:v>15</x:v>
      </x:c>
      <x:c r="F2" t="s">
        <x:v>16</x:v>
      </x:c>
    </x:row>
    <x:row r="3">
      <x:c r="A3" t="s">
        <x:v>17</x:v>
      </x:c>
      <x:c r="B3">
        <x:v>0.25669199228286699</x:v>
      </x:c>
      <x:c r="C3" t="s">
        <x:v>13</x:v>
      </x:c>
      <x:c r="D3" t="s">
        <x:v>27</x:v>
      </x:c>
      <x:c r="E3" t="s">
        <x:v>310</x:v>
      </x:c>
      <x:c r="F3" t="s">
        <x:v>28</x:v>
      </x:c>
    </x:row>
    <x:row r="4">
      <x:c r="A4" t="s">
        <x:v>17</x:v>
      </x:c>
      <x:c r="B4">
        <x:v>0.57513117790222101</x:v>
      </x:c>
      <x:c r="C4" t="s">
        <x:v>33</x:v>
      </x:c>
      <x:c r="D4" t="s">
        <x:v>14</x:v>
      </x:c>
      <x:c r="E4" t="s">
        <x:v>34</x:v>
      </x:c>
      <x:c r="F4" t="s">
        <x:v>35</x:v>
      </x:c>
    </x:row>
    <x:row r="5">
      <x:c r="A5" t="s">
        <x:v>17</x:v>
      </x:c>
      <x:c r="B5">
        <x:v>0.28581678867339999</x:v>
      </x:c>
      <x:c r="C5" t="s">
        <x:v>13</x:v>
      </x:c>
      <x:c r="D5" t="s">
        <x:v>27</x:v>
      </x:c>
      <x:c r="E5" t="s">
        <x:v>15</x:v>
      </x:c>
      <x:c r="F5" t="s">
        <x:v>40</x:v>
      </x:c>
    </x:row>
    <x:row r="6">
      <x:c r="A6" t="s">
        <x:v>17</x:v>
      </x:c>
      <x:c r="B6">
        <x:v>0.33786788582801802</x:v>
      </x:c>
      <x:c r="C6" t="s">
        <x:v>33</x:v>
      </x:c>
      <x:c r="D6" t="s">
        <x:v>27</x:v>
      </x:c>
      <x:c r="E6" t="s">
        <x:v>310</x:v>
      </x:c>
      <x:c r="F6" t="s">
        <x:v>45</x:v>
      </x:c>
    </x:row>
    <x:row r="7">
      <x:c r="A7" t="s">
        <x:v>17</x:v>
      </x:c>
      <x:c r="B7">
        <x:v>0.26804909110069203</x:v>
      </x:c>
      <x:c r="C7" t="s">
        <x:v>33</x:v>
      </x:c>
      <x:c r="D7" t="s">
        <x:v>27</x:v>
      </x:c>
      <x:c r="E7" t="s">
        <x:v>310</x:v>
      </x:c>
      <x:c r="F7" t="s">
        <x:v>16</x:v>
      </x:c>
    </x:row>
    <x:row r="8">
      <x:c r="A8" t="s">
        <x:v>17</x:v>
      </x:c>
      <x:c r="B8">
        <x:v>0.52712714672088601</x:v>
      </x:c>
      <x:c r="C8" t="s">
        <x:v>13</x:v>
      </x:c>
      <x:c r="D8" t="s">
        <x:v>14</x:v>
      </x:c>
      <x:c r="E8" t="s">
        <x:v>15</x:v>
      </x:c>
      <x:c r="F8" t="s">
        <x:v>35</x:v>
      </x:c>
    </x:row>
    <x:row r="9">
      <x:c r="A9" t="s">
        <x:v>17</x:v>
      </x:c>
      <x:c r="B9">
        <x:v>0.33680248260498002</x:v>
      </x:c>
      <x:c r="C9" t="s">
        <x:v>33</x:v>
      </x:c>
      <x:c r="D9" t="s">
        <x:v>27</x:v>
      </x:c>
      <x:c r="E9" t="s">
        <x:v>310</x:v>
      </x:c>
      <x:c r="F9" t="s">
        <x:v>58</x:v>
      </x:c>
    </x:row>
    <x:row r="10">
      <x:c r="A10" t="s">
        <x:v>17</x:v>
      </x:c>
      <x:c r="B10">
        <x:v>0.28120467066764798</x:v>
      </x:c>
      <x:c r="C10" t="s">
        <x:v>13</x:v>
      </x:c>
      <x:c r="D10" t="s">
        <x:v>27</x:v>
      </x:c>
      <x:c r="E10" t="s">
        <x:v>310</x:v>
      </x:c>
      <x:c r="F10" t="s">
        <x:v>58</x:v>
      </x:c>
    </x:row>
    <x:row r="11">
      <x:c r="A11" t="s">
        <x:v>17</x:v>
      </x:c>
      <x:c r="B11">
        <x:v>0.267965197563171</x:v>
      </x:c>
      <x:c r="C11" t="s">
        <x:v>13</x:v>
      </x:c>
      <x:c r="D11" t="s">
        <x:v>27</x:v>
      </x:c>
      <x:c r="E11" t="s">
        <x:v>15</x:v>
      </x:c>
      <x:c r="F11" t="s">
        <x:v>16</x:v>
      </x:c>
    </x:row>
    <x:row r="12">
      <x:c r="A12" t="s">
        <x:v>17</x:v>
      </x:c>
      <x:c r="B12">
        <x:v>0.30041268467903098</x:v>
      </x:c>
      <x:c r="C12" t="s">
        <x:v>13</x:v>
      </x:c>
      <x:c r="D12" t="s">
        <x:v>14</x:v>
      </x:c>
      <x:c r="E12" t="s">
        <x:v>15</x:v>
      </x:c>
      <x:c r="F12" t="s">
        <x:v>40</x:v>
      </x:c>
    </x:row>
    <x:row r="13">
      <x:c r="A13" t="s">
        <x:v>17</x:v>
      </x:c>
      <x:c r="B13">
        <x:v>0.28416815400123502</x:v>
      </x:c>
      <x:c r="C13" t="s">
        <x:v>33</x:v>
      </x:c>
      <x:c r="D13" t="s">
        <x:v>27</x:v>
      </x:c>
      <x:c r="E13" t="s">
        <x:v>310</x:v>
      </x:c>
      <x:c r="F13" t="s">
        <x:v>28</x:v>
      </x:c>
    </x:row>
    <x:row r="14">
      <x:c r="A14" t="s">
        <x:v>17</x:v>
      </x:c>
      <x:c r="B14">
        <x:v>0.241784632205963</x:v>
      </x:c>
      <x:c r="C14" t="s">
        <x:v>33</x:v>
      </x:c>
      <x:c r="D14" t="s">
        <x:v>27</x:v>
      </x:c>
      <x:c r="E14" t="s">
        <x:v>310</x:v>
      </x:c>
      <x:c r="F14" t="s">
        <x:v>40</x:v>
      </x:c>
    </x:row>
    <x:row r="15">
      <x:c r="A15" t="s">
        <x:v>17</x:v>
      </x:c>
      <x:c r="B15">
        <x:v>0.43602848052978499</x:v>
      </x:c>
      <x:c r="C15" t="s">
        <x:v>13</x:v>
      </x:c>
      <x:c r="D15" t="s">
        <x:v>14</x:v>
      </x:c>
      <x:c r="E15" t="s">
        <x:v>310</x:v>
      </x:c>
      <x:c r="F15" t="s">
        <x:v>45</x:v>
      </x:c>
    </x:row>
    <x:row r="16">
      <x:c r="A16" t="s">
        <x:v>17</x:v>
      </x:c>
      <x:c r="B16">
        <x:v>0.39512392878532399</x:v>
      </x:c>
      <x:c r="C16" t="s">
        <x:v>13</x:v>
      </x:c>
      <x:c r="D16" t="s">
        <x:v>27</x:v>
      </x:c>
      <x:c r="E16" t="s">
        <x:v>15</x:v>
      </x:c>
      <x:c r="F16" t="s">
        <x:v>87</x:v>
      </x:c>
    </x:row>
    <x:row r="17">
      <x:c r="A17" t="s">
        <x:v>17</x:v>
      </x:c>
      <x:c r="B17">
        <x:v>0.295566946268081</x:v>
      </x:c>
      <x:c r="C17" t="s">
        <x:v>33</x:v>
      </x:c>
      <x:c r="D17" t="s">
        <x:v>27</x:v>
      </x:c>
      <x:c r="E17" t="s">
        <x:v>310</x:v>
      </x:c>
      <x:c r="F17" t="s">
        <x:v>92</x:v>
      </x:c>
    </x:row>
    <x:row r="18">
      <x:c r="A18" t="s">
        <x:v>17</x:v>
      </x:c>
      <x:c r="B18">
        <x:v>0.32997462153434698</x:v>
      </x:c>
      <x:c r="C18" t="s">
        <x:v>13</x:v>
      </x:c>
      <x:c r="D18" t="s">
        <x:v>27</x:v>
      </x:c>
      <x:c r="E18" t="s">
        <x:v>310</x:v>
      </x:c>
      <x:c r="F18" t="s">
        <x:v>97</x:v>
      </x:c>
    </x:row>
    <x:row r="19">
      <x:c r="A19" t="s">
        <x:v>17</x:v>
      </x:c>
      <x:c r="B19">
        <x:v>0.51864171028137196</x:v>
      </x:c>
      <x:c r="C19" t="s">
        <x:v>13</x:v>
      </x:c>
      <x:c r="D19" t="s">
        <x:v>27</x:v>
      </x:c>
      <x:c r="E19" t="s">
        <x:v>34</x:v>
      </x:c>
      <x:c r="F19" t="s">
        <x:v>45</x:v>
      </x:c>
    </x:row>
    <x:row r="20">
      <x:c r="A20" t="s">
        <x:v>17</x:v>
      </x:c>
      <x:c r="B20">
        <x:v>0.44954955577850297</x:v>
      </x:c>
      <x:c r="C20" t="s">
        <x:v>33</x:v>
      </x:c>
      <x:c r="D20" t="s">
        <x:v>27</x:v>
      </x:c>
      <x:c r="E20" t="s">
        <x:v>34</x:v>
      </x:c>
      <x:c r="F20" t="s">
        <x:v>45</x:v>
      </x:c>
    </x:row>
    <x:row r="21">
      <x:c r="A21" t="s">
        <x:v>17</x:v>
      </x:c>
      <x:c r="B21">
        <x:v>0.55138885974884</x:v>
      </x:c>
      <x:c r="C21" t="s">
        <x:v>33</x:v>
      </x:c>
      <x:c r="D21" t="s">
        <x:v>14</x:v>
      </x:c>
      <x:c r="E21" t="s">
        <x:v>34</x:v>
      </x:c>
      <x:c r="F21" t="s">
        <x:v>45</x:v>
      </x:c>
    </x:row>
    <x:row r="22">
      <x:c r="A22" t="s">
        <x:v>17</x:v>
      </x:c>
      <x:c r="B22">
        <x:v>0.44071379303932101</x:v>
      </x:c>
      <x:c r="C22" t="s">
        <x:v>13</x:v>
      </x:c>
      <x:c r="D22" t="s">
        <x:v>14</x:v>
      </x:c>
      <x:c r="E22" t="s">
        <x:v>34</x:v>
      </x:c>
      <x:c r="F22" t="s">
        <x:v>45</x:v>
      </x:c>
    </x:row>
    <x:row r="23">
      <x:c r="A23" t="s">
        <x:v>17</x:v>
      </x:c>
      <x:c r="B23">
        <x:v>0.277180194854736</x:v>
      </x:c>
      <x:c r="C23" t="s">
        <x:v>13</x:v>
      </x:c>
      <x:c r="D23" t="s">
        <x:v>14</x:v>
      </x:c>
      <x:c r="E23" t="s">
        <x:v>15</x:v>
      </x:c>
      <x:c r="F23" t="s">
        <x:v>87</x:v>
      </x:c>
    </x:row>
    <x:row r="24">
      <x:c r="A24" t="s">
        <x:v>17</x:v>
      </x:c>
      <x:c r="B24">
        <x:v>0.38389837741851801</x:v>
      </x:c>
      <x:c r="C24" t="s">
        <x:v>33</x:v>
      </x:c>
      <x:c r="D24" t="s">
        <x:v>27</x:v>
      </x:c>
      <x:c r="E24" t="s">
        <x:v>310</x:v>
      </x:c>
      <x:c r="F24" t="s">
        <x:v>97</x:v>
      </x:c>
    </x:row>
    <x:row r="25">
      <x:c r="A25" t="s">
        <x:v>17</x:v>
      </x:c>
      <x:c r="B25">
        <x:v>0.25524088740348799</x:v>
      </x:c>
      <x:c r="C25" t="s">
        <x:v>33</x:v>
      </x:c>
      <x:c r="D25" t="s">
        <x:v>27</x:v>
      </x:c>
      <x:c r="E25" t="s">
        <x:v>310</x:v>
      </x:c>
      <x:c r="F25" t="s">
        <x:v>87</x:v>
      </x:c>
    </x:row>
    <x:row r="26">
      <x:c r="A26" t="s">
        <x:v>17</x:v>
      </x:c>
      <x:c r="B26">
        <x:v>0.24843356013298001</x:v>
      </x:c>
      <x:c r="C26" t="s">
        <x:v>13</x:v>
      </x:c>
      <x:c r="D26" t="s">
        <x:v>27</x:v>
      </x:c>
      <x:c r="E26" t="s">
        <x:v>310</x:v>
      </x:c>
      <x:c r="F26" t="s">
        <x:v>92</x:v>
      </x:c>
    </x:row>
    <x:row r="27">
      <x:c r="A27" t="s">
        <x:v>17</x:v>
      </x:c>
      <x:c r="B27">
        <x:v>0.381383836269378</x:v>
      </x:c>
      <x:c r="C27" t="s">
        <x:v>33</x:v>
      </x:c>
      <x:c r="D27" t="s">
        <x:v>14</x:v>
      </x:c>
      <x:c r="E27" t="s">
        <x:v>310</x:v>
      </x:c>
      <x:c r="F27" t="s">
        <x:v>97</x:v>
      </x:c>
    </x:row>
    <x:row r="28">
      <x:c r="A28" t="s">
        <x:v>17</x:v>
      </x:c>
      <x:c r="B28">
        <x:v>0.49719870090484602</x:v>
      </x:c>
      <x:c r="C28" t="s">
        <x:v>33</x:v>
      </x:c>
      <x:c r="D28" t="s">
        <x:v>14</x:v>
      </x:c>
      <x:c r="E28" t="s">
        <x:v>15</x:v>
      </x:c>
      <x:c r="F28" t="s">
        <x:v>16</x:v>
      </x:c>
    </x:row>
    <x:row r="29">
      <x:c r="A29" t="s">
        <x:v>17</x:v>
      </x:c>
      <x:c r="B29">
        <x:v>0.232568114995956</x:v>
      </x:c>
      <x:c r="C29" t="s">
        <x:v>13</x:v>
      </x:c>
      <x:c r="D29" t="s">
        <x:v>14</x:v>
      </x:c>
      <x:c r="E29" t="s">
        <x:v>310</x:v>
      </x:c>
      <x:c r="F29" t="s">
        <x:v>92</x:v>
      </x:c>
    </x:row>
    <x:row r="30">
      <x:c r="A30" t="s">
        <x:v>17</x:v>
      </x:c>
      <x:c r="B30">
        <x:v>0.292191892862319</x:v>
      </x:c>
      <x:c r="C30" t="s">
        <x:v>13</x:v>
      </x:c>
      <x:c r="D30" t="s">
        <x:v>14</x:v>
      </x:c>
      <x:c r="E30" t="s">
        <x:v>310</x:v>
      </x:c>
      <x:c r="F30" t="s">
        <x:v>40</x:v>
      </x:c>
    </x:row>
    <x:row r="31">
      <x:c r="A31" t="s">
        <x:v>17</x:v>
      </x:c>
      <x:c r="B31">
        <x:v>0.39607781171798701</x:v>
      </x:c>
      <x:c r="C31" t="s">
        <x:v>33</x:v>
      </x:c>
      <x:c r="D31" t="s">
        <x:v>14</x:v>
      </x:c>
      <x:c r="E31" t="s">
        <x:v>15</x:v>
      </x:c>
      <x:c r="F31" t="s">
        <x:v>40</x:v>
      </x:c>
    </x:row>
    <x:row r="32">
      <x:c r="A32" t="s">
        <x:v>17</x:v>
      </x:c>
      <x:c r="B32">
        <x:v>0.32576897740364003</x:v>
      </x:c>
      <x:c r="C32" t="s">
        <x:v>33</x:v>
      </x:c>
      <x:c r="D32" t="s">
        <x:v>14</x:v>
      </x:c>
      <x:c r="E32" t="s">
        <x:v>310</x:v>
      </x:c>
      <x:c r="F32" t="s">
        <x:v>92</x:v>
      </x:c>
    </x:row>
    <x:row r="33">
      <x:c r="A33" t="s">
        <x:v>17</x:v>
      </x:c>
      <x:c r="B33">
        <x:v>0.41525202989578203</x:v>
      </x:c>
      <x:c r="C33" t="s">
        <x:v>13</x:v>
      </x:c>
      <x:c r="D33" t="s">
        <x:v>14</x:v>
      </x:c>
      <x:c r="E33" t="s">
        <x:v>310</x:v>
      </x:c>
      <x:c r="F33" t="s">
        <x:v>16</x:v>
      </x:c>
    </x:row>
    <x:row r="34">
      <x:c r="A34" t="s">
        <x:v>17</x:v>
      </x:c>
      <x:c r="B34">
        <x:v>0.295567035675048</x:v>
      </x:c>
      <x:c r="C34" t="s">
        <x:v>13</x:v>
      </x:c>
      <x:c r="D34" t="s">
        <x:v>14</x:v>
      </x:c>
      <x:c r="E34" t="s">
        <x:v>310</x:v>
      </x:c>
      <x:c r="F34" t="s">
        <x:v>97</x:v>
      </x:c>
    </x:row>
    <x:row r="35">
      <x:c r="A35" t="s">
        <x:v>17</x:v>
      </x:c>
      <x:c r="B35">
        <x:v>0.28772509098052901</x:v>
      </x:c>
      <x:c r="C35" t="s">
        <x:v>13</x:v>
      </x:c>
      <x:c r="D35" t="s">
        <x:v>27</x:v>
      </x:c>
      <x:c r="E35" t="s">
        <x:v>310</x:v>
      </x:c>
      <x:c r="F35" t="s">
        <x:v>45</x:v>
      </x:c>
    </x:row>
    <x:row r="36">
      <x:c r="A36" t="s">
        <x:v>17</x:v>
      </x:c>
      <x:c r="B36">
        <x:v>0.33731183409690801</x:v>
      </x:c>
      <x:c r="C36" t="s">
        <x:v>13</x:v>
      </x:c>
      <x:c r="D36" t="s">
        <x:v>14</x:v>
      </x:c>
      <x:c r="E36" t="s">
        <x:v>310</x:v>
      </x:c>
      <x:c r="F36" t="s">
        <x:v>58</x:v>
      </x:c>
    </x:row>
    <x:row r="37">
      <x:c r="A37" t="s">
        <x:v>17</x:v>
      </x:c>
      <x:c r="B37">
        <x:v>0.56274461746215798</x:v>
      </x:c>
      <x:c r="C37" t="s">
        <x:v>33</x:v>
      </x:c>
      <x:c r="D37" t="s">
        <x:v>14</x:v>
      </x:c>
      <x:c r="E37" t="s">
        <x:v>310</x:v>
      </x:c>
      <x:c r="F37" t="s">
        <x:v>28</x:v>
      </x:c>
    </x:row>
    <x:row r="38">
      <x:c r="A38" t="s">
        <x:v>17</x:v>
      </x:c>
      <x:c r="B38">
        <x:v>0.33806091547012301</x:v>
      </x:c>
      <x:c r="C38" t="s">
        <x:v>13</x:v>
      </x:c>
      <x:c r="D38" t="s">
        <x:v>14</x:v>
      </x:c>
      <x:c r="E38" t="s">
        <x:v>310</x:v>
      </x:c>
      <x:c r="F38" t="s">
        <x:v>28</x:v>
      </x:c>
    </x:row>
    <x:row r="39">
      <x:c r="A39" t="s">
        <x:v>17</x:v>
      </x:c>
      <x:c r="B39">
        <x:v>0.23424015939235601</x:v>
      </x:c>
      <x:c r="C39" t="s">
        <x:v>13</x:v>
      </x:c>
      <x:c r="D39" t="s">
        <x:v>14</x:v>
      </x:c>
      <x:c r="E39" t="s">
        <x:v>34</x:v>
      </x:c>
      <x:c r="F39" t="s">
        <x:v>35</x:v>
      </x:c>
    </x:row>
    <x:row r="40">
      <x:c r="A40" t="s">
        <x:v>17</x:v>
      </x:c>
      <x:c r="B40">
        <x:v>0.28554433584213201</x:v>
      </x:c>
      <x:c r="C40" t="s">
        <x:v>33</x:v>
      </x:c>
      <x:c r="D40" t="s">
        <x:v>14</x:v>
      </x:c>
      <x:c r="E40" t="s">
        <x:v>15</x:v>
      </x:c>
      <x:c r="F40" t="s">
        <x:v>87</x:v>
      </x:c>
    </x:row>
    <x:row r="41">
      <x:c r="A41" t="s">
        <x:v>17</x:v>
      </x:c>
      <x:c r="B41">
        <x:v>0.33995375037193298</x:v>
      </x:c>
      <x:c r="C41" t="s">
        <x:v>33</x:v>
      </x:c>
      <x:c r="D41" t="s">
        <x:v>14</x:v>
      </x:c>
      <x:c r="E41" t="s">
        <x:v>310</x:v>
      </x:c>
      <x:c r="F41" t="s">
        <x:v>45</x:v>
      </x:c>
    </x:row>
    <x:row r="42">
      <x:c r="A42" t="s">
        <x:v>17</x:v>
      </x:c>
      <x:c r="B42">
        <x:v>0.418788522481918</x:v>
      </x:c>
      <x:c r="C42" t="s">
        <x:v>13</x:v>
      </x:c>
      <x:c r="D42" t="s">
        <x:v>14</x:v>
      </x:c>
      <x:c r="E42" t="s">
        <x:v>15</x:v>
      </x:c>
      <x:c r="F42" t="s">
        <x:v>45</x:v>
      </x:c>
    </x:row>
    <x:row r="43">
      <x:c r="A43" t="s">
        <x:v>17</x:v>
      </x:c>
      <x:c r="B43">
        <x:v>0.80871212482452304</x:v>
      </x:c>
      <x:c r="C43" t="s">
        <x:v>33</x:v>
      </x:c>
      <x:c r="D43" t="s">
        <x:v>14</x:v>
      </x:c>
      <x:c r="E43" t="s">
        <x:v>15</x:v>
      </x:c>
      <x:c r="F43" t="s">
        <x:v>35</x:v>
      </x:c>
    </x:row>
    <x:row r="44">
      <x:c r="A44" t="s">
        <x:v>17</x:v>
      </x:c>
      <x:c r="B44">
        <x:v>0.33379629254341098</x:v>
      </x:c>
      <x:c r="C44" t="s">
        <x:v>33</x:v>
      </x:c>
      <x:c r="D44" t="s">
        <x:v>14</x:v>
      </x:c>
      <x:c r="E44" t="s">
        <x:v>15</x:v>
      </x:c>
      <x:c r="F44" t="s">
        <x:v>45</x:v>
      </x:c>
    </x:row>
    <x:row r="45">
      <x:c r="A45" t="s">
        <x:v>17</x:v>
      </x:c>
      <x:c r="B45">
        <x:v>0.23444826900959001</x:v>
      </x:c>
      <x:c r="C45" t="s">
        <x:v>13</x:v>
      </x:c>
      <x:c r="D45" t="s">
        <x:v>27</x:v>
      </x:c>
      <x:c r="E45" t="s">
        <x:v>15</x:v>
      </x:c>
      <x:c r="F45" t="s">
        <x:v>45</x:v>
      </x:c>
    </x:row>
    <x:row r="46">
      <x:c r="A46" t="s">
        <x:v>17</x:v>
      </x:c>
      <x:c r="B46">
        <x:v>0.586439609527587</x:v>
      </x:c>
      <x:c r="C46" t="s">
        <x:v>33</x:v>
      </x:c>
      <x:c r="D46" t="s">
        <x:v>14</x:v>
      </x:c>
      <x:c r="E46" t="s">
        <x:v>310</x:v>
      </x:c>
      <x:c r="F46" t="s">
        <x:v>58</x:v>
      </x:c>
    </x:row>
    <x:row r="47">
      <x:c r="A47" t="s">
        <x:v>17</x:v>
      </x:c>
      <x:c r="B47">
        <x:v>0.38509801030158902</x:v>
      </x:c>
      <x:c r="C47" t="s">
        <x:v>13</x:v>
      </x:c>
      <x:c r="D47" t="s">
        <x:v>14</x:v>
      </x:c>
      <x:c r="E47" t="s">
        <x:v>34</x:v>
      </x:c>
      <x:c r="F47" t="s">
        <x:v>40</x:v>
      </x:c>
    </x:row>
    <x:row r="48">
      <x:c r="A48" t="s">
        <x:v>17</x:v>
      </x:c>
      <x:c r="B48">
        <x:v>0.79744136333465498</x:v>
      </x:c>
      <x:c r="C48" t="s">
        <x:v>33</x:v>
      </x:c>
      <x:c r="D48" t="s">
        <x:v>14</x:v>
      </x:c>
      <x:c r="E48" t="s">
        <x:v>310</x:v>
      </x:c>
      <x:c r="F48" t="s">
        <x:v>35</x:v>
      </x:c>
    </x:row>
    <x:row r="49">
      <x:c r="A49" t="s">
        <x:v>17</x:v>
      </x:c>
      <x:c r="B49">
        <x:v>0.83242988586425704</x:v>
      </x:c>
      <x:c r="C49" t="s">
        <x:v>13</x:v>
      </x:c>
      <x:c r="D49" t="s">
        <x:v>27</x:v>
      </x:c>
      <x:c r="E49" t="s">
        <x:v>34</x:v>
      </x:c>
      <x:c r="F49" t="s">
        <x:v>16</x:v>
      </x:c>
    </x:row>
    <x:row r="50">
      <x:c r="A50" t="s">
        <x:v>17</x:v>
      </x:c>
      <x:c r="B50">
        <x:v>0.23248873651027599</x:v>
      </x:c>
      <x:c r="C50" t="s">
        <x:v>33</x:v>
      </x:c>
      <x:c r="D50" t="s">
        <x:v>14</x:v>
      </x:c>
      <x:c r="E50" t="s">
        <x:v>310</x:v>
      </x:c>
      <x:c r="F50" t="s">
        <x:v>16</x:v>
      </x:c>
    </x:row>
    <x:row r="51">
      <x:c r="A51" t="s">
        <x:v>17</x:v>
      </x:c>
      <x:c r="B51">
        <x:v>12548955</x:v>
      </x:c>
      <x:c r="C51" t="s">
        <x:v>13</x:v>
      </x:c>
      <x:c r="D51" t="s">
        <x:v>27</x:v>
      </x:c>
      <x:c r="E51" t="s">
        <x:v>34</x:v>
      </x:c>
      <x:c r="F51" t="s">
        <x:v>40</x:v>
      </x:c>
    </x:row>
    <x:row r="52">
      <x:c r="A52" t="s">
        <x:v>17</x:v>
      </x:c>
      <x:c r="B52">
        <x:v>0.42923039197921697</x:v>
      </x:c>
      <x:c r="C52" t="s">
        <x:v>13</x:v>
      </x:c>
      <x:c r="D52" t="s">
        <x:v>14</x:v>
      </x:c>
      <x:c r="E52" t="s">
        <x:v>34</x:v>
      </x:c>
      <x:c r="F52" t="s">
        <x:v>16</x:v>
      </x:c>
    </x:row>
    <x:row r="53">
      <x:c r="A53" t="s">
        <x:v>17</x:v>
      </x:c>
      <x:c r="B53">
        <x:v>0.40268889069557101</x:v>
      </x:c>
      <x:c r="C53" t="s">
        <x:v>13</x:v>
      </x:c>
      <x:c r="D53" t="s">
        <x:v>14</x:v>
      </x:c>
      <x:c r="E53" t="s">
        <x:v>310</x:v>
      </x:c>
      <x:c r="F53" t="s">
        <x:v>35</x:v>
      </x:c>
    </x:row>
    <x:row r="54">
      <x:c r="A54" t="s">
        <x:v>17</x:v>
      </x:c>
      <x:c r="B54">
        <x:v>0.24872817099094299</x:v>
      </x:c>
      <x:c r="C54" t="s">
        <x:v>33</x:v>
      </x:c>
      <x:c r="D54" t="s">
        <x:v>14</x:v>
      </x:c>
      <x:c r="E54" t="s">
        <x:v>310</x:v>
      </x:c>
      <x:c r="F54" t="s">
        <x:v>40</x:v>
      </x:c>
    </x:row>
    <x:row r="55">
      <x:c r="A55" t="s">
        <x:v>17</x:v>
      </x:c>
      <x:c r="B55">
        <x:v>0.26415276527404702</x:v>
      </x:c>
      <x:c r="C55" t="s">
        <x:v>13</x:v>
      </x:c>
      <x:c r="D55" t="s">
        <x:v>14</x:v>
      </x:c>
      <x:c r="E55" t="s">
        <x:v>34</x:v>
      </x:c>
      <x:c r="F55" t="s">
        <x:v>87</x:v>
      </x:c>
    </x:row>
    <x:row r="56">
      <x:c r="A56" t="s">
        <x:v>17</x:v>
      </x:c>
      <x:c r="B56">
        <x:v>0.27435666322708102</x:v>
      </x:c>
      <x:c r="C56" t="s">
        <x:v>13</x:v>
      </x:c>
      <x:c r="D56" t="s">
        <x:v>14</x:v>
      </x:c>
      <x:c r="E56" t="s">
        <x:v>310</x:v>
      </x:c>
      <x:c r="F56" t="s">
        <x:v>87</x:v>
      </x:c>
    </x:row>
    <x:row r="57">
      <x:c r="A57" t="s">
        <x:v>17</x:v>
      </x:c>
      <x:c r="B57">
        <x:v>0.23108921945095001</x:v>
      </x:c>
      <x:c r="C57" t="s">
        <x:v>13</x:v>
      </x:c>
      <x:c r="D57" t="s">
        <x:v>14</x:v>
      </x:c>
      <x:c r="E57" t="s">
        <x:v>34</x:v>
      </x:c>
      <x:c r="F57" t="s">
        <x:v>97</x:v>
      </x:c>
    </x:row>
    <x:row r="58">
      <x:c r="A58" t="s">
        <x:v>17</x:v>
      </x:c>
      <x:c r="B58">
        <x:v>37292728320</x:v>
      </x:c>
      <x:c r="C58" t="s">
        <x:v>13</x:v>
      </x:c>
      <x:c r="D58" t="s">
        <x:v>27</x:v>
      </x:c>
      <x:c r="E58" t="s">
        <x:v>34</x:v>
      </x:c>
      <x:c r="F58" t="s">
        <x:v>87</x:v>
      </x:c>
    </x:row>
    <x:row r="59">
      <x:c r="A59" t="s">
        <x:v>17</x:v>
      </x:c>
      <x:c r="B59">
        <x:v>0.57468783855438199</x:v>
      </x:c>
      <x:c r="C59" t="s">
        <x:v>33</x:v>
      </x:c>
      <x:c r="D59" t="s">
        <x:v>14</x:v>
      </x:c>
      <x:c r="E59" t="s">
        <x:v>15</x:v>
      </x:c>
      <x:c r="F59" t="s">
        <x:v>97</x:v>
      </x:c>
    </x:row>
    <x:row r="60">
      <x:c r="A60" t="s">
        <x:v>17</x:v>
      </x:c>
      <x:c r="B60">
        <x:v>0.23202961683273299</x:v>
      </x:c>
      <x:c r="C60" t="s">
        <x:v>33</x:v>
      </x:c>
      <x:c r="D60" t="s">
        <x:v>14</x:v>
      </x:c>
      <x:c r="E60" t="s">
        <x:v>310</x:v>
      </x:c>
      <x:c r="F60" t="s">
        <x:v>87</x:v>
      </x:c>
    </x:row>
    <x:row r="61">
      <x:c r="A61" t="s">
        <x:v>17</x:v>
      </x:c>
      <x:c r="B61">
        <x:v>0.341910660266876</x:v>
      </x:c>
      <x:c r="C61" t="s">
        <x:v>33</x:v>
      </x:c>
      <x:c r="D61" t="s">
        <x:v>27</x:v>
      </x:c>
      <x:c r="E61" t="s">
        <x:v>34</x:v>
      </x:c>
      <x:c r="F61" t="s">
        <x:v>16</x:v>
      </x:c>
    </x:row>
    <x:row r="62">
      <x:c r="A62" t="s">
        <x:v>17</x:v>
      </x:c>
      <x:c r="B62">
        <x:v>0.40140345692634499</x:v>
      </x:c>
      <x:c r="C62" t="s">
        <x:v>33</x:v>
      </x:c>
      <x:c r="D62" t="s">
        <x:v>14</x:v>
      </x:c>
      <x:c r="E62" t="s">
        <x:v>34</x:v>
      </x:c>
      <x:c r="F62" t="s">
        <x:v>40</x:v>
      </x:c>
    </x:row>
    <x:row r="63">
      <x:c r="A63" t="s">
        <x:v>17</x:v>
      </x:c>
      <x:c r="B63">
        <x:v>0.38356834650039601</x:v>
      </x:c>
      <x:c r="C63" t="s">
        <x:v>33</x:v>
      </x:c>
      <x:c r="D63" t="s">
        <x:v>14</x:v>
      </x:c>
      <x:c r="E63" t="s">
        <x:v>34</x:v>
      </x:c>
      <x:c r="F63" t="s">
        <x:v>97</x:v>
      </x:c>
    </x:row>
    <x:row r="64">
      <x:c r="A64" t="s">
        <x:v>17</x:v>
      </x:c>
      <x:c r="B64">
        <x:v>0.23660372197627999</x:v>
      </x:c>
      <x:c r="C64" t="s">
        <x:v>13</x:v>
      </x:c>
      <x:c r="D64" t="s">
        <x:v>27</x:v>
      </x:c>
      <x:c r="E64" t="s">
        <x:v>310</x:v>
      </x:c>
      <x:c r="F64" t="s">
        <x:v>40</x:v>
      </x:c>
    </x:row>
    <x:row r="65">
      <x:c r="A65" t="s">
        <x:v>17</x:v>
      </x:c>
      <x:c r="B65">
        <x:v>0.36773726344108498</x:v>
      </x:c>
      <x:c r="C65" t="s">
        <x:v>13</x:v>
      </x:c>
      <x:c r="D65" t="s">
        <x:v>14</x:v>
      </x:c>
      <x:c r="E65" t="s">
        <x:v>15</x:v>
      </x:c>
      <x:c r="F65" t="s">
        <x:v>97</x:v>
      </x:c>
    </x:row>
    <x:row r="66">
      <x:c r="A66" t="s">
        <x:v>17</x:v>
      </x:c>
      <x:c r="B66">
        <x:v>0.25601321458816501</x:v>
      </x:c>
      <x:c r="C66" t="s">
        <x:v>33</x:v>
      </x:c>
      <x:c r="D66" t="s">
        <x:v>14</x:v>
      </x:c>
      <x:c r="E66" t="s">
        <x:v>34</x:v>
      </x:c>
      <x:c r="F66" t="s">
        <x:v>16</x:v>
      </x:c>
    </x:row>
    <x:row r="67">
      <x:c r="A67" t="s">
        <x:v>17</x:v>
      </x:c>
      <x:c r="B67">
        <x:v>0.31942710280418302</x:v>
      </x:c>
      <x:c r="C67" t="s">
        <x:v>33</x:v>
      </x:c>
      <x:c r="D67" t="s">
        <x:v>27</x:v>
      </x:c>
      <x:c r="E67" t="s">
        <x:v>34</x:v>
      </x:c>
      <x:c r="F67" t="s">
        <x:v>40</x:v>
      </x:c>
    </x:row>
    <x:row r="68">
      <x:c r="A68" t="s">
        <x:v>17</x:v>
      </x:c>
      <x:c r="B68">
        <x:v>0.20512889325618699</x:v>
      </x:c>
      <x:c r="C68" t="s">
        <x:v>13</x:v>
      </x:c>
      <x:c r="D68" t="s">
        <x:v>27</x:v>
      </x:c>
      <x:c r="E68" t="s">
        <x:v>310</x:v>
      </x:c>
      <x:c r="F68" t="s">
        <x:v>16</x:v>
      </x:c>
    </x:row>
    <x:row r="69">
      <x:c r="A69" t="s">
        <x:v>17</x:v>
      </x:c>
      <x:c r="B69">
        <x:v>0.278393894433975</x:v>
      </x:c>
      <x:c r="C69" t="s">
        <x:v>33</x:v>
      </x:c>
      <x:c r="D69" t="s">
        <x:v>14</x:v>
      </x:c>
      <x:c r="E69" t="s">
        <x:v>34</x:v>
      </x:c>
      <x:c r="F69" t="s">
        <x:v>87</x:v>
      </x:c>
    </x:row>
    <x:row r="70">
      <x:c r="A70" t="s">
        <x:v>17</x:v>
      </x:c>
      <x:c r="B70">
        <x:v>0.24497613310813901</x:v>
      </x:c>
      <x:c r="C70" t="s">
        <x:v>13</x:v>
      </x:c>
      <x:c r="D70" t="s">
        <x:v>27</x:v>
      </x:c>
      <x:c r="E70" t="s">
        <x:v>310</x:v>
      </x:c>
      <x:c r="F70" t="s">
        <x:v>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20"/>
  <x:sheetData>
    <x:row r="1">
      <x:c r="A1" t="s">
        <x:v>0</x:v>
      </x:c>
      <x:c r="B1" t="s">
        <x:v>1</x:v>
      </x:c>
      <x:c r="C1" t="s">
        <x:v>5</x:v>
      </x:c>
      <x:c r="D1" t="s">
        <x:v>6</x:v>
      </x:c>
      <x:c r="E1" t="s">
        <x:v>7</x:v>
      </x:c>
      <x:c r="F1" t="s">
        <x:v>8</x:v>
      </x:c>
    </x:row>
    <x:row r="2">
      <x:c r="A2" t="s">
        <x:v>9</x:v>
      </x:c>
      <x:c r="B2">
        <x:v>0.65499276003277296</x:v>
      </x:c>
      <x:c r="C2" t="s">
        <x:v>13</x:v>
      </x:c>
      <x:c r="D2" t="s">
        <x:v>14</x:v>
      </x:c>
      <x:c r="E2" t="s">
        <x:v>15</x:v>
      </x:c>
      <x:c r="F2" t="s">
        <x:v>16</x:v>
      </x:c>
    </x:row>
    <x:row r="3">
      <x:c r="A3" t="s">
        <x:v>9</x:v>
      </x:c>
      <x:c r="B3">
        <x:v>0.91270897465922995</x:v>
      </x:c>
      <x:c r="C3" t="s">
        <x:v>13</x:v>
      </x:c>
      <x:c r="D3" t="s">
        <x:v>27</x:v>
      </x:c>
      <x:c r="E3" t="s">
        <x:v>310</x:v>
      </x:c>
      <x:c r="F3" t="s">
        <x:v>28</x:v>
      </x:c>
    </x:row>
    <x:row r="4">
      <x:c r="A4" t="s">
        <x:v>9</x:v>
      </x:c>
      <x:c r="B4">
        <x:v>0.61943542516289896</x:v>
      </x:c>
      <x:c r="C4" t="s">
        <x:v>33</x:v>
      </x:c>
      <x:c r="D4" t="s">
        <x:v>14</x:v>
      </x:c>
      <x:c r="E4" t="s">
        <x:v>34</x:v>
      </x:c>
      <x:c r="F4" t="s">
        <x:v>35</x:v>
      </x:c>
    </x:row>
    <x:row r="5">
      <x:c r="A5" t="s">
        <x:v>9</x:v>
      </x:c>
      <x:c r="B5">
        <x:v>0.92602496111573496</x:v>
      </x:c>
      <x:c r="C5" t="s">
        <x:v>13</x:v>
      </x:c>
      <x:c r="D5" t="s">
        <x:v>27</x:v>
      </x:c>
      <x:c r="E5" t="s">
        <x:v>15</x:v>
      </x:c>
      <x:c r="F5" t="s">
        <x:v>40</x:v>
      </x:c>
    </x:row>
    <x:row r="6">
      <x:c r="A6" t="s">
        <x:v>9</x:v>
      </x:c>
      <x:c r="B6">
        <x:v>0.79717279523121898</x:v>
      </x:c>
      <x:c r="C6" t="s">
        <x:v>33</x:v>
      </x:c>
      <x:c r="D6" t="s">
        <x:v>27</x:v>
      </x:c>
      <x:c r="E6" t="s">
        <x:v>310</x:v>
      </x:c>
      <x:c r="F6" t="s">
        <x:v>45</x:v>
      </x:c>
    </x:row>
    <x:row r="7">
      <x:c r="A7" t="s">
        <x:v>9</x:v>
      </x:c>
      <x:c r="B7">
        <x:v>0.86279862363694404</x:v>
      </x:c>
      <x:c r="C7" t="s">
        <x:v>33</x:v>
      </x:c>
      <x:c r="D7" t="s">
        <x:v>27</x:v>
      </x:c>
      <x:c r="E7" t="s">
        <x:v>310</x:v>
      </x:c>
      <x:c r="F7" t="s">
        <x:v>16</x:v>
      </x:c>
    </x:row>
    <x:row r="8">
      <x:c r="A8" t="s">
        <x:v>9</x:v>
      </x:c>
      <x:c r="B8">
        <x:v>0.66001028413645202</x:v>
      </x:c>
      <x:c r="C8" t="s">
        <x:v>13</x:v>
      </x:c>
      <x:c r="D8" t="s">
        <x:v>14</x:v>
      </x:c>
      <x:c r="E8" t="s">
        <x:v>15</x:v>
      </x:c>
      <x:c r="F8" t="s">
        <x:v>35</x:v>
      </x:c>
    </x:row>
    <x:row r="9">
      <x:c r="A9" t="s">
        <x:v>9</x:v>
      </x:c>
      <x:c r="B9">
        <x:v>0.90164749196961602</x:v>
      </x:c>
      <x:c r="C9" t="s">
        <x:v>33</x:v>
      </x:c>
      <x:c r="D9" t="s">
        <x:v>27</x:v>
      </x:c>
      <x:c r="E9" t="s">
        <x:v>310</x:v>
      </x:c>
      <x:c r="F9" t="s">
        <x:v>58</x:v>
      </x:c>
    </x:row>
    <x:row r="10">
      <x:c r="A10" t="s">
        <x:v>9</x:v>
      </x:c>
      <x:c r="B10">
        <x:v>0.91061234027343796</x:v>
      </x:c>
      <x:c r="C10" t="s">
        <x:v>13</x:v>
      </x:c>
      <x:c r="D10" t="s">
        <x:v>27</x:v>
      </x:c>
      <x:c r="E10" t="s">
        <x:v>310</x:v>
      </x:c>
      <x:c r="F10" t="s">
        <x:v>58</x:v>
      </x:c>
    </x:row>
    <x:row r="11">
      <x:c r="A11" t="s">
        <x:v>9</x:v>
      </x:c>
      <x:c r="B11">
        <x:v>0.90203186498691001</x:v>
      </x:c>
      <x:c r="C11" t="s">
        <x:v>13</x:v>
      </x:c>
      <x:c r="D11" t="s">
        <x:v>27</x:v>
      </x:c>
      <x:c r="E11" t="s">
        <x:v>15</x:v>
      </x:c>
      <x:c r="F11" t="s">
        <x:v>16</x:v>
      </x:c>
    </x:row>
    <x:row r="12">
      <x:c r="A12" t="s">
        <x:v>9</x:v>
      </x:c>
      <x:c r="B12">
        <x:v>0.792919388848079</x:v>
      </x:c>
      <x:c r="C12" t="s">
        <x:v>13</x:v>
      </x:c>
      <x:c r="D12" t="s">
        <x:v>14</x:v>
      </x:c>
      <x:c r="E12" t="s">
        <x:v>15</x:v>
      </x:c>
      <x:c r="F12" t="s">
        <x:v>40</x:v>
      </x:c>
    </x:row>
    <x:row r="13">
      <x:c r="A13" t="s">
        <x:v>9</x:v>
      </x:c>
      <x:c r="B13">
        <x:v>0.916153933669547</x:v>
      </x:c>
      <x:c r="C13" t="s">
        <x:v>33</x:v>
      </x:c>
      <x:c r="D13" t="s">
        <x:v>27</x:v>
      </x:c>
      <x:c r="E13" t="s">
        <x:v>310</x:v>
      </x:c>
      <x:c r="F13" t="s">
        <x:v>28</x:v>
      </x:c>
    </x:row>
    <x:row r="14">
      <x:c r="A14" t="s">
        <x:v>9</x:v>
      </x:c>
      <x:c r="B14">
        <x:v>0.89706695249745105</x:v>
      </x:c>
      <x:c r="C14" t="s">
        <x:v>33</x:v>
      </x:c>
      <x:c r="D14" t="s">
        <x:v>27</x:v>
      </x:c>
      <x:c r="E14" t="s">
        <x:v>310</x:v>
      </x:c>
      <x:c r="F14" t="s">
        <x:v>40</x:v>
      </x:c>
    </x:row>
    <x:row r="15">
      <x:c r="A15" t="s">
        <x:v>9</x:v>
      </x:c>
      <x:c r="B15">
        <x:v>0.65081334478414699</x:v>
      </x:c>
      <x:c r="C15" t="s">
        <x:v>13</x:v>
      </x:c>
      <x:c r="D15" t="s">
        <x:v>14</x:v>
      </x:c>
      <x:c r="E15" t="s">
        <x:v>310</x:v>
      </x:c>
      <x:c r="F15" t="s">
        <x:v>45</x:v>
      </x:c>
    </x:row>
    <x:row r="16">
      <x:c r="A16" t="s">
        <x:v>9</x:v>
      </x:c>
      <x:c r="B16">
        <x:v>0.90763750442132296</x:v>
      </x:c>
      <x:c r="C16" t="s">
        <x:v>13</x:v>
      </x:c>
      <x:c r="D16" t="s">
        <x:v>27</x:v>
      </x:c>
      <x:c r="E16" t="s">
        <x:v>15</x:v>
      </x:c>
      <x:c r="F16" t="s">
        <x:v>87</x:v>
      </x:c>
    </x:row>
    <x:row r="17">
      <x:c r="A17" t="s">
        <x:v>9</x:v>
      </x:c>
      <x:c r="B17">
        <x:v>0.91089867219071097</x:v>
      </x:c>
      <x:c r="C17" t="s">
        <x:v>33</x:v>
      </x:c>
      <x:c r="D17" t="s">
        <x:v>27</x:v>
      </x:c>
      <x:c r="E17" t="s">
        <x:v>310</x:v>
      </x:c>
      <x:c r="F17" t="s">
        <x:v>92</x:v>
      </x:c>
    </x:row>
    <x:row r="18">
      <x:c r="A18" t="s">
        <x:v>9</x:v>
      </x:c>
      <x:c r="B18">
        <x:v>0.91652418456932105</x:v>
      </x:c>
      <x:c r="C18" t="s">
        <x:v>13</x:v>
      </x:c>
      <x:c r="D18" t="s">
        <x:v>27</x:v>
      </x:c>
      <x:c r="E18" t="s">
        <x:v>310</x:v>
      </x:c>
      <x:c r="F18" t="s">
        <x:v>97</x:v>
      </x:c>
    </x:row>
    <x:row r="19">
      <x:c r="A19" t="s">
        <x:v>9</x:v>
      </x:c>
      <x:c r="B19">
        <x:v>0.82645719631853498</x:v>
      </x:c>
      <x:c r="C19" t="s">
        <x:v>13</x:v>
      </x:c>
      <x:c r="D19" t="s">
        <x:v>27</x:v>
      </x:c>
      <x:c r="E19" t="s">
        <x:v>34</x:v>
      </x:c>
      <x:c r="F19" t="s">
        <x:v>45</x:v>
      </x:c>
    </x:row>
    <x:row r="20">
      <x:c r="A20" t="s">
        <x:v>9</x:v>
      </x:c>
      <x:c r="B20">
        <x:v>0.65577426719696696</x:v>
      </x:c>
      <x:c r="C20" t="s">
        <x:v>33</x:v>
      </x:c>
      <x:c r="D20" t="s">
        <x:v>27</x:v>
      </x:c>
      <x:c r="E20" t="s">
        <x:v>34</x:v>
      </x:c>
      <x:c r="F20" t="s">
        <x:v>45</x:v>
      </x:c>
    </x:row>
    <x:row r="21">
      <x:c r="A21" t="s">
        <x:v>9</x:v>
      </x:c>
      <x:c r="B21">
        <x:v>0.85210646229634501</x:v>
      </x:c>
      <x:c r="C21" t="s">
        <x:v>33</x:v>
      </x:c>
      <x:c r="D21" t="s">
        <x:v>14</x:v>
      </x:c>
      <x:c r="E21" t="s">
        <x:v>34</x:v>
      </x:c>
      <x:c r="F21" t="s">
        <x:v>45</x:v>
      </x:c>
    </x:row>
    <x:row r="22">
      <x:c r="A22" t="s">
        <x:v>9</x:v>
      </x:c>
      <x:c r="B22">
        <x:v>0.60533108357297705</x:v>
      </x:c>
      <x:c r="C22" t="s">
        <x:v>13</x:v>
      </x:c>
      <x:c r="D22" t="s">
        <x:v>14</x:v>
      </x:c>
      <x:c r="E22" t="s">
        <x:v>34</x:v>
      </x:c>
      <x:c r="F22" t="s">
        <x:v>45</x:v>
      </x:c>
    </x:row>
    <x:row r="23">
      <x:c r="A23" t="s">
        <x:v>9</x:v>
      </x:c>
      <x:c r="B23">
        <x:v>0.85183098662423795</x:v>
      </x:c>
      <x:c r="C23" t="s">
        <x:v>13</x:v>
      </x:c>
      <x:c r="D23" t="s">
        <x:v>14</x:v>
      </x:c>
      <x:c r="E23" t="s">
        <x:v>15</x:v>
      </x:c>
      <x:c r="F23" t="s">
        <x:v>87</x:v>
      </x:c>
    </x:row>
    <x:row r="24">
      <x:c r="A24" t="s">
        <x:v>9</x:v>
      </x:c>
      <x:c r="B24">
        <x:v>0.88956032921869099</x:v>
      </x:c>
      <x:c r="C24" t="s">
        <x:v>33</x:v>
      </x:c>
      <x:c r="D24" t="s">
        <x:v>27</x:v>
      </x:c>
      <x:c r="E24" t="s">
        <x:v>310</x:v>
      </x:c>
      <x:c r="F24" t="s">
        <x:v>97</x:v>
      </x:c>
    </x:row>
    <x:row r="25">
      <x:c r="A25" t="s">
        <x:v>9</x:v>
      </x:c>
      <x:c r="B25">
        <x:v>0.93457373443331104</x:v>
      </x:c>
      <x:c r="C25" t="s">
        <x:v>33</x:v>
      </x:c>
      <x:c r="D25" t="s">
        <x:v>27</x:v>
      </x:c>
      <x:c r="E25" t="s">
        <x:v>310</x:v>
      </x:c>
      <x:c r="F25" t="s">
        <x:v>87</x:v>
      </x:c>
    </x:row>
    <x:row r="26">
      <x:c r="A26" t="s">
        <x:v>9</x:v>
      </x:c>
      <x:c r="B26">
        <x:v>0.92125559941687396</x:v>
      </x:c>
      <x:c r="C26" t="s">
        <x:v>13</x:v>
      </x:c>
      <x:c r="D26" t="s">
        <x:v>27</x:v>
      </x:c>
      <x:c r="E26" t="s">
        <x:v>310</x:v>
      </x:c>
      <x:c r="F26" t="s">
        <x:v>92</x:v>
      </x:c>
    </x:row>
    <x:row r="27">
      <x:c r="A27" t="s">
        <x:v>9</x:v>
      </x:c>
      <x:c r="B27">
        <x:v>0.89075107669973896</x:v>
      </x:c>
      <x:c r="C27" t="s">
        <x:v>33</x:v>
      </x:c>
      <x:c r="D27" t="s">
        <x:v>14</x:v>
      </x:c>
      <x:c r="E27" t="s">
        <x:v>310</x:v>
      </x:c>
      <x:c r="F27" t="s">
        <x:v>97</x:v>
      </x:c>
    </x:row>
    <x:row r="28">
      <x:c r="A28" t="s">
        <x:v>9</x:v>
      </x:c>
      <x:c r="B28">
        <x:v>0.85626892268898902</x:v>
      </x:c>
      <x:c r="C28" t="s">
        <x:v>33</x:v>
      </x:c>
      <x:c r="D28" t="s">
        <x:v>14</x:v>
      </x:c>
      <x:c r="E28" t="s">
        <x:v>15</x:v>
      </x:c>
      <x:c r="F28" t="s">
        <x:v>16</x:v>
      </x:c>
    </x:row>
    <x:row r="29">
      <x:c r="A29" t="s">
        <x:v>9</x:v>
      </x:c>
      <x:c r="B29">
        <x:v>0.93233916286768204</x:v>
      </x:c>
      <x:c r="C29" t="s">
        <x:v>13</x:v>
      </x:c>
      <x:c r="D29" t="s">
        <x:v>14</x:v>
      </x:c>
      <x:c r="E29" t="s">
        <x:v>310</x:v>
      </x:c>
      <x:c r="F29" t="s">
        <x:v>92</x:v>
      </x:c>
    </x:row>
    <x:row r="30">
      <x:c r="A30" t="s">
        <x:v>9</x:v>
      </x:c>
      <x:c r="B30">
        <x:v>0.84778695238600799</x:v>
      </x:c>
      <x:c r="C30" t="s">
        <x:v>13</x:v>
      </x:c>
      <x:c r="D30" t="s">
        <x:v>14</x:v>
      </x:c>
      <x:c r="E30" t="s">
        <x:v>310</x:v>
      </x:c>
      <x:c r="F30" t="s">
        <x:v>40</x:v>
      </x:c>
    </x:row>
    <x:row r="31">
      <x:c r="A31" t="s">
        <x:v>9</x:v>
      </x:c>
      <x:c r="B31">
        <x:v>0.85712241346154805</x:v>
      </x:c>
      <x:c r="C31" t="s">
        <x:v>33</x:v>
      </x:c>
      <x:c r="D31" t="s">
        <x:v>14</x:v>
      </x:c>
      <x:c r="E31" t="s">
        <x:v>15</x:v>
      </x:c>
      <x:c r="F31" t="s">
        <x:v>40</x:v>
      </x:c>
    </x:row>
    <x:row r="32">
      <x:c r="A32" t="s">
        <x:v>9</x:v>
      </x:c>
      <x:c r="B32">
        <x:v>0.89506613002249602</x:v>
      </x:c>
      <x:c r="C32" t="s">
        <x:v>33</x:v>
      </x:c>
      <x:c r="D32" t="s">
        <x:v>14</x:v>
      </x:c>
      <x:c r="E32" t="s">
        <x:v>310</x:v>
      </x:c>
      <x:c r="F32" t="s">
        <x:v>92</x:v>
      </x:c>
    </x:row>
    <x:row r="33">
      <x:c r="A33" t="s">
        <x:v>9</x:v>
      </x:c>
      <x:c r="B33">
        <x:v>0.68396946578420004</x:v>
      </x:c>
      <x:c r="C33" t="s">
        <x:v>13</x:v>
      </x:c>
      <x:c r="D33" t="s">
        <x:v>14</x:v>
      </x:c>
      <x:c r="E33" t="s">
        <x:v>310</x:v>
      </x:c>
      <x:c r="F33" t="s">
        <x:v>16</x:v>
      </x:c>
    </x:row>
    <x:row r="34">
      <x:c r="A34" t="s">
        <x:v>9</x:v>
      </x:c>
      <x:c r="B34">
        <x:v>0.91018717303480701</x:v>
      </x:c>
      <x:c r="C34" t="s">
        <x:v>13</x:v>
      </x:c>
      <x:c r="D34" t="s">
        <x:v>14</x:v>
      </x:c>
      <x:c r="E34" t="s">
        <x:v>310</x:v>
      </x:c>
      <x:c r="F34" t="s">
        <x:v>97</x:v>
      </x:c>
    </x:row>
    <x:row r="35">
      <x:c r="A35" t="s">
        <x:v>9</x:v>
      </x:c>
      <x:c r="B35">
        <x:v>0.89106713126776105</x:v>
      </x:c>
      <x:c r="C35" t="s">
        <x:v>13</x:v>
      </x:c>
      <x:c r="D35" t="s">
        <x:v>27</x:v>
      </x:c>
      <x:c r="E35" t="s">
        <x:v>310</x:v>
      </x:c>
      <x:c r="F35" t="s">
        <x:v>45</x:v>
      </x:c>
    </x:row>
    <x:row r="36">
      <x:c r="A36" t="s">
        <x:v>9</x:v>
      </x:c>
      <x:c r="B36">
        <x:v>0.89256943285341395</x:v>
      </x:c>
      <x:c r="C36" t="s">
        <x:v>13</x:v>
      </x:c>
      <x:c r="D36" t="s">
        <x:v>14</x:v>
      </x:c>
      <x:c r="E36" t="s">
        <x:v>310</x:v>
      </x:c>
      <x:c r="F36" t="s">
        <x:v>58</x:v>
      </x:c>
    </x:row>
    <x:row r="37">
      <x:c r="A37" t="s">
        <x:v>9</x:v>
      </x:c>
      <x:c r="B37">
        <x:v>0.84270647854444103</x:v>
      </x:c>
      <x:c r="C37" t="s">
        <x:v>33</x:v>
      </x:c>
      <x:c r="D37" t="s">
        <x:v>14</x:v>
      </x:c>
      <x:c r="E37" t="s">
        <x:v>310</x:v>
      </x:c>
      <x:c r="F37" t="s">
        <x:v>28</x:v>
      </x:c>
    </x:row>
    <x:row r="38">
      <x:c r="A38" t="s">
        <x:v>9</x:v>
      </x:c>
      <x:c r="B38">
        <x:v>0.89943333185098795</x:v>
      </x:c>
      <x:c r="C38" t="s">
        <x:v>13</x:v>
      </x:c>
      <x:c r="D38" t="s">
        <x:v>14</x:v>
      </x:c>
      <x:c r="E38" t="s">
        <x:v>310</x:v>
      </x:c>
      <x:c r="F38" t="s">
        <x:v>28</x:v>
      </x:c>
    </x:row>
    <x:row r="39">
      <x:c r="A39" t="s">
        <x:v>9</x:v>
      </x:c>
      <x:c r="B39">
        <x:v>0.92453878917134003</x:v>
      </x:c>
      <x:c r="C39" t="s">
        <x:v>13</x:v>
      </x:c>
      <x:c r="D39" t="s">
        <x:v>14</x:v>
      </x:c>
      <x:c r="E39" t="s">
        <x:v>34</x:v>
      </x:c>
      <x:c r="F39" t="s">
        <x:v>35</x:v>
      </x:c>
    </x:row>
    <x:row r="40">
      <x:c r="A40" t="s">
        <x:v>9</x:v>
      </x:c>
      <x:c r="B40">
        <x:v>0.91422914155886703</x:v>
      </x:c>
      <x:c r="C40" t="s">
        <x:v>33</x:v>
      </x:c>
      <x:c r="D40" t="s">
        <x:v>14</x:v>
      </x:c>
      <x:c r="E40" t="s">
        <x:v>15</x:v>
      </x:c>
      <x:c r="F40" t="s">
        <x:v>87</x:v>
      </x:c>
    </x:row>
    <x:row r="41">
      <x:c r="A41" t="s">
        <x:v>9</x:v>
      </x:c>
      <x:c r="B41">
        <x:v>0.74296743996886305</x:v>
      </x:c>
      <x:c r="C41" t="s">
        <x:v>33</x:v>
      </x:c>
      <x:c r="D41" t="s">
        <x:v>14</x:v>
      </x:c>
      <x:c r="E41" t="s">
        <x:v>310</x:v>
      </x:c>
      <x:c r="F41" t="s">
        <x:v>45</x:v>
      </x:c>
    </x:row>
    <x:row r="42">
      <x:c r="A42" t="s">
        <x:v>9</x:v>
      </x:c>
      <x:c r="B42">
        <x:v>0.64309265563161</x:v>
      </x:c>
      <x:c r="C42" t="s">
        <x:v>13</x:v>
      </x:c>
      <x:c r="D42" t="s">
        <x:v>14</x:v>
      </x:c>
      <x:c r="E42" t="s">
        <x:v>15</x:v>
      </x:c>
      <x:c r="F42" t="s">
        <x:v>45</x:v>
      </x:c>
    </x:row>
    <x:row r="43">
      <x:c r="A43" t="s">
        <x:v>9</x:v>
      </x:c>
      <x:c r="B43">
        <x:v>-6.9900708300686801E-2</x:v>
      </x:c>
      <x:c r="C43" t="s">
        <x:v>33</x:v>
      </x:c>
      <x:c r="D43" t="s">
        <x:v>14</x:v>
      </x:c>
      <x:c r="E43" t="s">
        <x:v>15</x:v>
      </x:c>
      <x:c r="F43" t="s">
        <x:v>35</x:v>
      </x:c>
    </x:row>
    <x:row r="44">
      <x:c r="A44" t="s">
        <x:v>9</x:v>
      </x:c>
      <x:c r="B44">
        <x:v>0.89511737329443597</x:v>
      </x:c>
      <x:c r="C44" t="s">
        <x:v>33</x:v>
      </x:c>
      <x:c r="D44" t="s">
        <x:v>14</x:v>
      </x:c>
      <x:c r="E44" t="s">
        <x:v>15</x:v>
      </x:c>
      <x:c r="F44" t="s">
        <x:v>45</x:v>
      </x:c>
    </x:row>
    <x:row r="45">
      <x:c r="A45" t="s">
        <x:v>9</x:v>
      </x:c>
      <x:c r="B45">
        <x:v>0.90819797729512497</x:v>
      </x:c>
      <x:c r="C45" t="s">
        <x:v>13</x:v>
      </x:c>
      <x:c r="D45" t="s">
        <x:v>27</x:v>
      </x:c>
      <x:c r="E45" t="s">
        <x:v>15</x:v>
      </x:c>
      <x:c r="F45" t="s">
        <x:v>45</x:v>
      </x:c>
    </x:row>
    <x:row r="46">
      <x:c r="A46" t="s">
        <x:v>9</x:v>
      </x:c>
      <x:c r="B46">
        <x:v>0.80958082300547196</x:v>
      </x:c>
      <x:c r="C46" t="s">
        <x:v>33</x:v>
      </x:c>
      <x:c r="D46" t="s">
        <x:v>14</x:v>
      </x:c>
      <x:c r="E46" t="s">
        <x:v>310</x:v>
      </x:c>
      <x:c r="F46" t="s">
        <x:v>58</x:v>
      </x:c>
    </x:row>
    <x:row r="47">
      <x:c r="A47" t="s">
        <x:v>9</x:v>
      </x:c>
      <x:c r="B47">
        <x:v>0.84039248659825505</x:v>
      </x:c>
      <x:c r="C47" t="s">
        <x:v>13</x:v>
      </x:c>
      <x:c r="D47" t="s">
        <x:v>14</x:v>
      </x:c>
      <x:c r="E47" t="s">
        <x:v>34</x:v>
      </x:c>
      <x:c r="F47" t="s">
        <x:v>40</x:v>
      </x:c>
    </x:row>
    <x:row r="48">
      <x:c r="A48" t="s">
        <x:v>9</x:v>
      </x:c>
      <x:c r="B48">
        <x:v>0.37912808523944103</x:v>
      </x:c>
      <x:c r="C48" t="s">
        <x:v>33</x:v>
      </x:c>
      <x:c r="D48" t="s">
        <x:v>14</x:v>
      </x:c>
      <x:c r="E48" t="s">
        <x:v>310</x:v>
      </x:c>
      <x:c r="F48" t="s">
        <x:v>35</x:v>
      </x:c>
    </x:row>
    <x:row r="49">
      <x:c r="A49" t="s">
        <x:v>9</x:v>
      </x:c>
      <x:c r="B49">
        <x:v>0.815409798686205</x:v>
      </x:c>
      <x:c r="C49" t="s">
        <x:v>13</x:v>
      </x:c>
      <x:c r="D49" t="s">
        <x:v>27</x:v>
      </x:c>
      <x:c r="E49" t="s">
        <x:v>34</x:v>
      </x:c>
      <x:c r="F49" t="s">
        <x:v>16</x:v>
      </x:c>
    </x:row>
    <x:row r="50">
      <x:c r="A50" t="s">
        <x:v>9</x:v>
      </x:c>
      <x:c r="B50">
        <x:v>0.87956110100991802</x:v>
      </x:c>
      <x:c r="C50" t="s">
        <x:v>33</x:v>
      </x:c>
      <x:c r="D50" t="s">
        <x:v>14</x:v>
      </x:c>
      <x:c r="E50" t="s">
        <x:v>310</x:v>
      </x:c>
      <x:c r="F50" t="s">
        <x:v>16</x:v>
      </x:c>
    </x:row>
    <x:row r="51">
      <x:c r="A51" t="s">
        <x:v>9</x:v>
      </x:c>
      <x:c r="B51">
        <x:v>0.27764715062084699</x:v>
      </x:c>
      <x:c r="C51" t="s">
        <x:v>13</x:v>
      </x:c>
      <x:c r="D51" t="s">
        <x:v>27</x:v>
      </x:c>
      <x:c r="E51" t="s">
        <x:v>34</x:v>
      </x:c>
      <x:c r="F51" t="s">
        <x:v>40</x:v>
      </x:c>
    </x:row>
    <x:row r="52">
      <x:c r="A52" t="s">
        <x:v>9</x:v>
      </x:c>
      <x:c r="B52">
        <x:v>0.65886559856420701</x:v>
      </x:c>
      <x:c r="C52" t="s">
        <x:v>13</x:v>
      </x:c>
      <x:c r="D52" t="s">
        <x:v>14</x:v>
      </x:c>
      <x:c r="E52" t="s">
        <x:v>34</x:v>
      </x:c>
      <x:c r="F52" t="s">
        <x:v>16</x:v>
      </x:c>
    </x:row>
    <x:row r="53">
      <x:c r="A53" t="s">
        <x:v>9</x:v>
      </x:c>
      <x:c r="B53">
        <x:v>0.88430519967625398</x:v>
      </x:c>
      <x:c r="C53" t="s">
        <x:v>13</x:v>
      </x:c>
      <x:c r="D53" t="s">
        <x:v>14</x:v>
      </x:c>
      <x:c r="E53" t="s">
        <x:v>310</x:v>
      </x:c>
      <x:c r="F53" t="s">
        <x:v>35</x:v>
      </x:c>
    </x:row>
    <x:row r="54">
      <x:c r="A54" t="s">
        <x:v>9</x:v>
      </x:c>
      <x:c r="B54">
        <x:v>0.86394067965099397</x:v>
      </x:c>
      <x:c r="C54" t="s">
        <x:v>33</x:v>
      </x:c>
      <x:c r="D54" t="s">
        <x:v>14</x:v>
      </x:c>
      <x:c r="E54" t="s">
        <x:v>310</x:v>
      </x:c>
      <x:c r="F54" t="s">
        <x:v>40</x:v>
      </x:c>
    </x:row>
    <x:row r="55">
      <x:c r="A55" t="s">
        <x:v>9</x:v>
      </x:c>
      <x:c r="B55">
        <x:v>0.89533756496124695</x:v>
      </x:c>
      <x:c r="C55" t="s">
        <x:v>13</x:v>
      </x:c>
      <x:c r="D55" t="s">
        <x:v>14</x:v>
      </x:c>
      <x:c r="E55" t="s">
        <x:v>34</x:v>
      </x:c>
      <x:c r="F55" t="s">
        <x:v>87</x:v>
      </x:c>
    </x:row>
    <x:row r="56">
      <x:c r="A56" t="s">
        <x:v>9</x:v>
      </x:c>
      <x:c r="B56">
        <x:v>0.87106060486008796</x:v>
      </x:c>
      <x:c r="C56" t="s">
        <x:v>13</x:v>
      </x:c>
      <x:c r="D56" t="s">
        <x:v>14</x:v>
      </x:c>
      <x:c r="E56" t="s">
        <x:v>310</x:v>
      </x:c>
      <x:c r="F56" t="s">
        <x:v>87</x:v>
      </x:c>
    </x:row>
    <x:row r="57">
      <x:c r="A57" t="s">
        <x:v>9</x:v>
      </x:c>
      <x:c r="B57">
        <x:v>0.92126830687342198</x:v>
      </x:c>
      <x:c r="C57" t="s">
        <x:v>13</x:v>
      </x:c>
      <x:c r="D57" t="s">
        <x:v>14</x:v>
      </x:c>
      <x:c r="E57" t="s">
        <x:v>34</x:v>
      </x:c>
      <x:c r="F57" t="s">
        <x:v>97</x:v>
      </x:c>
    </x:row>
    <x:row r="58">
      <x:c r="A58" t="s">
        <x:v>9</x:v>
      </x:c>
      <x:c r="B58">
        <x:v>0.264836595922884</x:v>
      </x:c>
      <x:c r="C58" t="s">
        <x:v>13</x:v>
      </x:c>
      <x:c r="D58" t="s">
        <x:v>27</x:v>
      </x:c>
      <x:c r="E58" t="s">
        <x:v>34</x:v>
      </x:c>
      <x:c r="F58" t="s">
        <x:v>87</x:v>
      </x:c>
    </x:row>
    <x:row r="59">
      <x:c r="A59" t="s">
        <x:v>9</x:v>
      </x:c>
      <x:c r="B59">
        <x:v>0.73235796346528204</x:v>
      </x:c>
      <x:c r="C59" t="s">
        <x:v>33</x:v>
      </x:c>
      <x:c r="D59" t="s">
        <x:v>14</x:v>
      </x:c>
      <x:c r="E59" t="s">
        <x:v>15</x:v>
      </x:c>
      <x:c r="F59" t="s">
        <x:v>97</x:v>
      </x:c>
    </x:row>
    <x:row r="60">
      <x:c r="A60" t="s">
        <x:v>9</x:v>
      </x:c>
      <x:c r="B60">
        <x:v>0.92809127409493897</x:v>
      </x:c>
      <x:c r="C60" t="s">
        <x:v>33</x:v>
      </x:c>
      <x:c r="D60" t="s">
        <x:v>14</x:v>
      </x:c>
      <x:c r="E60" t="s">
        <x:v>310</x:v>
      </x:c>
      <x:c r="F60" t="s">
        <x:v>87</x:v>
      </x:c>
    </x:row>
    <x:row r="61">
      <x:c r="A61" t="s">
        <x:v>9</x:v>
      </x:c>
      <x:c r="B61">
        <x:v>0.88969371082955095</x:v>
      </x:c>
      <x:c r="C61" t="s">
        <x:v>33</x:v>
      </x:c>
      <x:c r="D61" t="s">
        <x:v>27</x:v>
      </x:c>
      <x:c r="E61" t="s">
        <x:v>34</x:v>
      </x:c>
      <x:c r="F61" t="s">
        <x:v>16</x:v>
      </x:c>
    </x:row>
    <x:row r="62">
      <x:c r="A62" t="s">
        <x:v>9</x:v>
      </x:c>
      <x:c r="B62">
        <x:v>0.87048083346621696</x:v>
      </x:c>
      <x:c r="C62" t="s">
        <x:v>33</x:v>
      </x:c>
      <x:c r="D62" t="s">
        <x:v>14</x:v>
      </x:c>
      <x:c r="E62" t="s">
        <x:v>34</x:v>
      </x:c>
      <x:c r="F62" t="s">
        <x:v>40</x:v>
      </x:c>
    </x:row>
    <x:row r="63">
      <x:c r="A63" t="s">
        <x:v>9</x:v>
      </x:c>
      <x:c r="B63">
        <x:v>0.843093725466175</x:v>
      </x:c>
      <x:c r="C63" t="s">
        <x:v>33</x:v>
      </x:c>
      <x:c r="D63" t="s">
        <x:v>14</x:v>
      </x:c>
      <x:c r="E63" t="s">
        <x:v>34</x:v>
      </x:c>
      <x:c r="F63" t="s">
        <x:v>97</x:v>
      </x:c>
    </x:row>
    <x:row r="64">
      <x:c r="A64" t="s">
        <x:v>9</x:v>
      </x:c>
      <x:c r="B64">
        <x:v>0.92303132020699197</x:v>
      </x:c>
      <x:c r="C64" t="s">
        <x:v>13</x:v>
      </x:c>
      <x:c r="D64" t="s">
        <x:v>27</x:v>
      </x:c>
      <x:c r="E64" t="s">
        <x:v>310</x:v>
      </x:c>
      <x:c r="F64" t="s">
        <x:v>40</x:v>
      </x:c>
    </x:row>
    <x:row r="65">
      <x:c r="A65" t="s">
        <x:v>9</x:v>
      </x:c>
      <x:c r="B65">
        <x:v>0.88734976099270901</x:v>
      </x:c>
      <x:c r="C65" t="s">
        <x:v>13</x:v>
      </x:c>
      <x:c r="D65" t="s">
        <x:v>14</x:v>
      </x:c>
      <x:c r="E65" t="s">
        <x:v>15</x:v>
      </x:c>
      <x:c r="F65" t="s">
        <x:v>97</x:v>
      </x:c>
    </x:row>
    <x:row r="66">
      <x:c r="A66" t="s">
        <x:v>9</x:v>
      </x:c>
      <x:c r="B66">
        <x:v>0.90256052102735296</x:v>
      </x:c>
      <x:c r="C66" t="s">
        <x:v>33</x:v>
      </x:c>
      <x:c r="D66" t="s">
        <x:v>14</x:v>
      </x:c>
      <x:c r="E66" t="s">
        <x:v>34</x:v>
      </x:c>
      <x:c r="F66" t="s">
        <x:v>16</x:v>
      </x:c>
    </x:row>
    <x:row r="67">
      <x:c r="A67" t="s">
        <x:v>9</x:v>
      </x:c>
      <x:c r="B67">
        <x:v>0.89855736539624897</x:v>
      </x:c>
      <x:c r="C67" t="s">
        <x:v>33</x:v>
      </x:c>
      <x:c r="D67" t="s">
        <x:v>27</x:v>
      </x:c>
      <x:c r="E67" t="s">
        <x:v>34</x:v>
      </x:c>
      <x:c r="F67" t="s">
        <x:v>40</x:v>
      </x:c>
    </x:row>
    <x:row r="68">
      <x:c r="A68" t="s">
        <x:v>9</x:v>
      </x:c>
      <x:c r="B68">
        <x:v>0.93240932311770397</x:v>
      </x:c>
      <x:c r="C68" t="s">
        <x:v>13</x:v>
      </x:c>
      <x:c r="D68" t="s">
        <x:v>27</x:v>
      </x:c>
      <x:c r="E68" t="s">
        <x:v>310</x:v>
      </x:c>
      <x:c r="F68" t="s">
        <x:v>16</x:v>
      </x:c>
    </x:row>
    <x:row r="69">
      <x:c r="A69" t="s">
        <x:v>9</x:v>
      </x:c>
      <x:c r="B69">
        <x:v>0.88669895558235201</x:v>
      </x:c>
      <x:c r="C69" t="s">
        <x:v>33</x:v>
      </x:c>
      <x:c r="D69" t="s">
        <x:v>14</x:v>
      </x:c>
      <x:c r="E69" t="s">
        <x:v>34</x:v>
      </x:c>
      <x:c r="F69" t="s">
        <x:v>87</x:v>
      </x:c>
    </x:row>
    <x:row r="70">
      <x:c r="A70" t="s">
        <x:v>9</x:v>
      </x:c>
      <x:c r="B70">
        <x:v>0.92236119765172897</x:v>
      </x:c>
      <x:c r="C70" t="s">
        <x:v>13</x:v>
      </x:c>
      <x:c r="D70" t="s">
        <x:v>27</x:v>
      </x:c>
      <x:c r="E70" t="s">
        <x:v>310</x:v>
      </x:c>
      <x:c r="F70" t="s">
        <x:v>87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6" hidden="0" customWidth="1"/>
    <x:col min="4" max="4" width="16" hidden="0" customWidth="1"/>
    <x:col min="5" max="5" width="28" hidden="0" customWidth="1"/>
    <x:col min="6" max="6" width="3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</x:cols>
  <x:sheetData>
    <x:row r="1" ht="34" customHeight="1">
      <x:c r="A1" s="4" t="str">
        <x:v>Corr / MAE 比較ダッシュボード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 ht="30" customHeight="1">
      <x:c r="A2" s="7" t="str">
        <x:v>test / all の Corr と MAE を、place × algorithm ごとに比較。MAE の極端値は閾値を超える場合、平均と散布図から除外しています。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3">
      <x:c r="A3" s="15" t="str">
        <x:v>MAE 除外閾値</x:v>
      </x:c>
      <x:c r="B3" s="21" t="n">
        <x:v>1</x:v>
      </x:c>
      <x:c r="C3" s="17" t="str">
        <x:v>有効データ数</x:v>
      </x:c>
      <x:c r="D3" s="11" t="n">
        <x:f>COUNTIF('MAE'!$B$2:$B$70,"&lt;="&amp;$B$3)</x:f>
        <x:v>67</x:v>
      </x:c>
    </x:row>
    <x:row r="4">
      <x:c r="A4" s="16" t="str">
        <x:v>除外データ数</x:v>
      </x:c>
      <x:c r="B4" s="22" t="n">
        <x:f>COUNTIF('MAE'!$B$2:$B$70,"&gt;"&amp;$B$3)</x:f>
        <x:v>2</x:v>
      </x:c>
      <x:c r="C4" s="23" t="str">
        <x:v>全データ数</x:v>
      </x:c>
      <x:c r="D4" s="24" t="n">
        <x:f>COUNTA('MAE'!$B$2:$B$70)</x:f>
        <x:v>69</x:v>
      </x:c>
    </x:row>
    <x:row r="6">
      <x:c r="A6" s="27" t="str">
        <x:v>place</x:v>
      </x:c>
      <x:c r="B6" s="27" t="str">
        <x:v>algorithm</x:v>
      </x:c>
      <x:c r="C6" s="27" t="str">
        <x:v>Corr 平均</x:v>
      </x:c>
      <x:c r="D6" s="27" t="str">
        <x:v>MAE 平均 (閾値内)</x:v>
      </x:c>
      <x:c r="E6" s="27" t="str">
        <x:v>除外数</x:v>
      </x:c>
    </x:row>
    <x:row r="7">
      <x:c r="A7" s="28" t="str">
        <x:v>atc</x:v>
      </x:c>
      <x:c r="B7" s="28" t="str">
        <x:v>sfm</x:v>
      </x:c>
      <x:c r="C7" s="31" t="n">
        <x:f>AVERAGEIFS('Corr'!$B$2:$B$70,'Corr'!$C$2:$C$70,$A7,'Corr'!$D$2:$D$70,$B7)</x:f>
        <x:v>0.8051616349573759</x:v>
      </x:c>
      <x:c r="D7" s="31" t="n">
        <x:f>AVERAGEIFS('MAE'!$B$2:$B$70,'MAE'!$C$2:$C$70,$A7,'MAE'!$D$2:$D$70,$B7,'MAE'!$B$2:$B$70,"&lt;="&amp;$B$3)</x:f>
        <x:v>0.34715295547530706</x:v>
      </x:c>
      <x:c r="E7" s="34" t="n">
        <x:f>COUNTIFS('MAE'!$C$2:$C$70,$A7,'MAE'!$D$2:$D$70,$B7,'MAE'!$B$2:$B$70,"&gt;"&amp;$B$3)</x:f>
        <x:v>0</x:v>
      </x:c>
    </x:row>
    <x:row r="8">
      <x:c r="A8" s="29" t="str">
        <x:v>atc</x:v>
      </x:c>
      <x:c r="B8" s="29" t="str">
        <x:v>rnd</x:v>
      </x:c>
      <x:c r="C8" s="32" t="n">
        <x:f>AVERAGEIFS('Corr'!$B$2:$B$70,'Corr'!$C$2:$C$70,$A8,'Corr'!$D$2:$D$70,$B8)</x:f>
        <x:v>0.8223883200331632</x:v>
      </x:c>
      <x:c r="D8" s="32" t="n">
        <x:f>AVERAGEIFS('MAE'!$B$2:$B$70,'MAE'!$C$2:$C$70,$A8,'MAE'!$D$2:$D$70,$B8,'MAE'!$B$2:$B$70,"&lt;="&amp;$B$3)</x:f>
        <x:v>0.3303688902940065</x:v>
      </x:c>
      <x:c r="E8" s="35" t="n">
        <x:f>COUNTIFS('MAE'!$C$2:$C$70,$A8,'MAE'!$D$2:$D$70,$B8,'MAE'!$B$2:$B$70,"&gt;"&amp;$B$3)</x:f>
        <x:v>2</x:v>
      </x:c>
    </x:row>
    <x:row r="9">
      <x:c r="A9" s="29" t="str">
        <x:v>rec</x:v>
      </x:c>
      <x:c r="B9" s="29" t="str">
        <x:v>sfm</x:v>
      </x:c>
      <x:c r="C9" s="32" t="n">
        <x:f>AVERAGEIFS('Corr'!$B$2:$B$70,'Corr'!$C$2:$C$70,$A9,'Corr'!$D$2:$D$70,$B9)</x:f>
        <x:v>0.7805411484479086</x:v>
      </x:c>
      <x:c r="D9" s="32" t="n">
        <x:f>AVERAGEIFS('MAE'!$B$2:$B$70,'MAE'!$C$2:$C$70,$A9,'MAE'!$D$2:$D$70,$B9,'MAE'!$B$2:$B$70,"&lt;="&amp;$B$3)</x:f>
        <x:v>0.43089974919954904</x:v>
      </x:c>
      <x:c r="E9" s="35" t="n">
        <x:f>COUNTIFS('MAE'!$C$2:$C$70,$A9,'MAE'!$D$2:$D$70,$B9,'MAE'!$B$2:$B$70,"&gt;"&amp;$B$3)</x:f>
        <x:v>0</x:v>
      </x:c>
    </x:row>
    <x:row r="10">
      <x:c r="A10" s="30" t="str">
        <x:v>rec</x:v>
      </x:c>
      <x:c r="B10" s="30" t="str">
        <x:v>rnd</x:v>
      </x:c>
      <x:c r="C10" s="33" t="n">
        <x:f>AVERAGEIFS('Corr'!$B$2:$B$70,'Corr'!$C$2:$C$70,$A10,'Corr'!$D$2:$D$70,$B10)</x:f>
        <x:v>0.8685361705700232</x:v>
      </x:c>
      <x:c r="D10" s="33" t="n">
        <x:f>AVERAGEIFS('MAE'!$B$2:$B$70,'MAE'!$C$2:$C$70,$A10,'MAE'!$D$2:$D$70,$B10,'MAE'!$B$2:$B$70,"&lt;="&amp;$B$3)</x:f>
        <x:v>0.31947870688004887</x:v>
      </x:c>
      <x:c r="E10" s="36" t="n">
        <x:f>COUNTIFS('MAE'!$C$2:$C$70,$A10,'MAE'!$D$2:$D$70,$B10,'MAE'!$B$2:$B$70,"&gt;"&amp;$B$3)</x:f>
        <x:v>0</x:v>
      </x:c>
    </x:row>
    <x:row r="12">
      <x:c r="A12" s="38" t="str">
        <x:v>除外された MAE</x:v>
      </x:c>
      <x:c r="B12" s="38" t="str">
        <x:v>value</x:v>
      </x:c>
      <x:c r="C12" s="38" t="str">
        <x:v>place</x:v>
      </x:c>
      <x:c r="D12" s="38" t="str">
        <x:v>algorithm</x:v>
      </x:c>
      <x:c r="E12" s="38" t="str">
        <x:v>条件</x:v>
      </x:c>
    </x:row>
    <x:row r="13">
      <x:c r="A13" s="40" t="str">
        <x:v>MAE</x:v>
      </x:c>
      <x:c r="B13" s="41" t="n">
        <x:f>LARGE('MAE'!$B$2:$B$70,1)</x:f>
        <x:v>37292728320</x:v>
      </x:c>
      <x:c r="C13" s="40" t="str">
        <x:f>INDEX('MAE'!$C$2:$C$70,MATCH(B13,'MAE'!$B$2:$B$70,0))</x:f>
        <x:v>atc</x:v>
      </x:c>
      <x:c r="D13" s="40" t="str">
        <x:f>INDEX('MAE'!$D$2:$D$70,MATCH(B13,'MAE'!$B$2:$B$70,0))</x:f>
        <x:v>rnd</x:v>
      </x:c>
      <x:c r="E13" s="40" t="str">
        <x:v>value &gt; 閾値</x:v>
      </x:c>
    </x:row>
    <x:row r="14">
      <x:c r="A14" s="40" t="str">
        <x:v>MAE</x:v>
      </x:c>
      <x:c r="B14" s="41" t="n">
        <x:f>LARGE('MAE'!$B$2:$B$70,2)</x:f>
        <x:v>12548955</x:v>
      </x:c>
      <x:c r="C14" s="40" t="str">
        <x:f>INDEX('MAE'!$C$2:$C$70,MATCH(B14,'MAE'!$B$2:$B$70,0))</x:f>
        <x:v>atc</x:v>
      </x:c>
      <x:c r="D14" s="40" t="str">
        <x:f>INDEX('MAE'!$D$2:$D$70,MATCH(B14,'MAE'!$B$2:$B$70,0))</x:f>
        <x:v>rnd</x:v>
      </x:c>
      <x:c r="E14" s="40" t="str">
        <x:v>value &gt; 閾値</x:v>
      </x:c>
    </x:row>
    <x:row r="15" ht="30" customHeight="1">
      <x:c r="A15" s="40" t="str">
        <x:v>注記</x:v>
      </x:c>
      <x:c r="B15" s="40"/>
      <x:c r="C15" s="40"/>
      <x:c r="D15" s="40"/>
      <x:c r="E15" s="42" t="str">
        <x:v>元データは MAE シートに保持</x:v>
      </x:c>
    </x:row>
    <x:row r="40">
      <x:c r="A40" t="str">
        <x:v>label</x:v>
      </x:c>
      <x:c r="B40" t="str">
        <x:v>Corr</x:v>
      </x:c>
      <x:c r="C40" t="str">
        <x:v>MAE</x:v>
      </x:c>
      <x:c r="D40" t="str">
        <x:v>MAE_valid</x:v>
      </x:c>
      <x:c r="E40" t="str">
        <x:v>place</x:v>
      </x:c>
      <x:c r="F40" t="str">
        <x:v>algorithm</x:v>
      </x:c>
      <x:c r="G40" t="str">
        <x:v>vel</x:v>
      </x:c>
      <x:c r="H40" t="str">
        <x:v>person</x:v>
      </x:c>
      <x:c r="I40" t="str">
        <x:v>group</x:v>
      </x:c>
      <x:c r="K40" t="str">
        <x:v>atc-sfm Corr</x:v>
      </x:c>
      <x:c r="L40" t="str">
        <x:v>atc-sfm MAE</x:v>
      </x:c>
      <x:c r="M40" t="str">
        <x:v>atc-rnd Corr</x:v>
      </x:c>
      <x:c r="N40" t="str">
        <x:v>atc-rnd MAE</x:v>
      </x:c>
      <x:c r="O40" t="str">
        <x:v>rec-sfm Corr</x:v>
      </x:c>
      <x:c r="P40" t="str">
        <x:v>rec-sfm MAE</x:v>
      </x:c>
      <x:c r="Q40" t="str">
        <x:v>rec-rnd Corr</x:v>
      </x:c>
      <x:c r="R40" t="str">
        <x:v>rec-rnd MAE</x:v>
      </x:c>
      <x:c r="T40" t="str">
        <x:v>group</x:v>
      </x:c>
      <x:c r="U40" t="str">
        <x:v>Corr 平均</x:v>
      </x:c>
      <x:c r="V40" t="str">
        <x:v>MAE 平均</x:v>
      </x:c>
    </x:row>
    <x:row r="41">
      <x:c r="A41" t="str">
        <x:f>'Corr'!C2&amp;"-"&amp;'Corr'!D2&amp;"-"&amp;'Corr'!E2&amp;"-"&amp;'Corr'!F2</x:f>
        <x:v>atc-sfm-v18-p100</x:v>
      </x:c>
      <x:c r="B41" t="n">
        <x:f>'Corr'!B2</x:f>
        <x:v>0.654992760032773</x:v>
      </x:c>
      <x:c r="C41" t="n">
        <x:f>'MAE'!B2</x:f>
        <x:v>0.390416055917739</x:v>
      </x:c>
      <x:c r="D41" t="n">
        <x:f>IF(C41&lt;=$B$3,C41,"")</x:f>
        <x:v>0.390416055917739</x:v>
      </x:c>
      <x:c r="E41" t="str">
        <x:f>'Corr'!C2</x:f>
        <x:v>atc</x:v>
      </x:c>
      <x:c r="F41" t="str">
        <x:f>'Corr'!D2</x:f>
        <x:v>sfm</x:v>
      </x:c>
      <x:c r="G41" t="str">
        <x:f>'Corr'!E2</x:f>
        <x:v>v18</x:v>
      </x:c>
      <x:c r="H41" t="str">
        <x:f>'Corr'!F2</x:f>
        <x:v>p100</x:v>
      </x:c>
      <x:c r="I41" t="str">
        <x:f>E41&amp;"-"&amp;F41</x:f>
        <x:v>atc-sfm</x:v>
      </x:c>
      <x:c r="K41" t="n">
        <x:f>IF(AND($I41="atc-sfm",$D41&lt;&gt;""),$B41,"")</x:f>
        <x:v>0.654992760032773</x:v>
      </x:c>
      <x:c r="L41" t="n">
        <x:f>IF(AND($I41="atc-sfm",$D41&lt;&gt;""),$D41,"")</x:f>
        <x:v>0.390416055917739</x:v>
      </x:c>
      <x:c r="M41" t="str">
        <x:f>IF(AND($I41="atc-rnd",$D41&lt;&gt;""),$B41,"")</x:f>
      </x:c>
      <x:c r="N41" t="str">
        <x:f>IF(AND($I41="atc-rnd",$D41&lt;&gt;""),$D41,"")</x:f>
      </x:c>
      <x:c r="O41" t="str">
        <x:f>IF(AND($I41="rec-sfm",$D41&lt;&gt;""),$B41,"")</x:f>
      </x:c>
      <x:c r="P41" t="str">
        <x:f>IF(AND($I41="rec-sfm",$D41&lt;&gt;""),$D41,"")</x:f>
      </x:c>
      <x:c r="Q41" t="str">
        <x:f>IF(AND($I41="rec-rnd",$D41&lt;&gt;""),$B41,"")</x:f>
      </x:c>
      <x:c r="R41" t="str">
        <x:f>IF(AND($I41="rec-rnd",$D41&lt;&gt;""),$D41,"")</x:f>
      </x:c>
      <x:c r="T41" t="str">
        <x:f>A7&amp;"-"&amp;B7</x:f>
        <x:v>atc-sfm</x:v>
      </x:c>
      <x:c r="U41" t="n">
        <x:f>C7</x:f>
        <x:v>0.8051616349573759</x:v>
      </x:c>
      <x:c r="V41" t="n">
        <x:f>D7</x:f>
        <x:v>0.34715295547530706</x:v>
      </x:c>
    </x:row>
    <x:row r="42">
      <x:c r="A42" t="str">
        <x:f>'Corr'!C3&amp;"-"&amp;'Corr'!D3&amp;"-"&amp;'Corr'!E3&amp;"-"&amp;'Corr'!F3</x:f>
        <x:v>atc-rnd-v13-p2000</x:v>
      </x:c>
      <x:c r="B42" t="n">
        <x:f>'Corr'!B3</x:f>
        <x:v>0.91270897465923</x:v>
      </x:c>
      <x:c r="C42" t="n">
        <x:f>'MAE'!B3</x:f>
        <x:v>0.256691992282867</x:v>
      </x:c>
      <x:c r="D42" t="n">
        <x:f>IF(C42&lt;=$B$3,C42,"")</x:f>
        <x:v>0.256691992282867</x:v>
      </x:c>
      <x:c r="E42" t="str">
        <x:f>'Corr'!C3</x:f>
        <x:v>atc</x:v>
      </x:c>
      <x:c r="F42" t="str">
        <x:f>'Corr'!D3</x:f>
        <x:v>rnd</x:v>
      </x:c>
      <x:c r="G42" t="str">
        <x:f>'Corr'!E3</x:f>
        <x:v>v13</x:v>
      </x:c>
      <x:c r="H42" t="str">
        <x:f>'Corr'!F3</x:f>
        <x:v>p2000</x:v>
      </x:c>
      <x:c r="I42" t="str">
        <x:f>E42&amp;"-"&amp;F42</x:f>
        <x:v>atc-rnd</x:v>
      </x:c>
      <x:c r="K42" t="str">
        <x:f>IF(AND($I42="atc-sfm",$D42&lt;&gt;""),$B42,"")</x:f>
      </x:c>
      <x:c r="L42" t="str">
        <x:f>IF(AND($I42="atc-sfm",$D42&lt;&gt;""),$D42,"")</x:f>
      </x:c>
      <x:c r="M42" t="n">
        <x:f>IF(AND($I42="atc-rnd",$D42&lt;&gt;""),$B42,"")</x:f>
        <x:v>0.91270897465923</x:v>
      </x:c>
      <x:c r="N42" t="n">
        <x:f>IF(AND($I42="atc-rnd",$D42&lt;&gt;""),$D42,"")</x:f>
        <x:v>0.256691992282867</x:v>
      </x:c>
      <x:c r="O42" t="str">
        <x:f>IF(AND($I42="rec-sfm",$D42&lt;&gt;""),$B42,"")</x:f>
      </x:c>
      <x:c r="P42" t="str">
        <x:f>IF(AND($I42="rec-sfm",$D42&lt;&gt;""),$D42,"")</x:f>
      </x:c>
      <x:c r="Q42" t="str">
        <x:f>IF(AND($I42="rec-rnd",$D42&lt;&gt;""),$B42,"")</x:f>
      </x:c>
      <x:c r="R42" t="str">
        <x:f>IF(AND($I42="rec-rnd",$D42&lt;&gt;""),$D42,"")</x:f>
      </x:c>
      <x:c r="T42" t="str">
        <x:f>A8&amp;"-"&amp;B8</x:f>
        <x:v>atc-rnd</x:v>
      </x:c>
      <x:c r="U42" t="n">
        <x:f>C8</x:f>
        <x:v>0.8223883200331632</x:v>
      </x:c>
      <x:c r="V42" t="n">
        <x:f>D8</x:f>
        <x:v>0.3303688902940065</x:v>
      </x:c>
    </x:row>
    <x:row r="43">
      <x:c r="A43" t="str">
        <x:f>'Corr'!C4&amp;"-"&amp;'Corr'!D4&amp;"-"&amp;'Corr'!E4&amp;"-"&amp;'Corr'!F4</x:f>
        <x:v>rec-sfm-v08-p3000</x:v>
      </x:c>
      <x:c r="B43" t="n">
        <x:f>'Corr'!B4</x:f>
        <x:v>0.619435425162899</x:v>
      </x:c>
      <x:c r="C43" t="n">
        <x:f>'MAE'!B4</x:f>
        <x:v>0.575131177902221</x:v>
      </x:c>
      <x:c r="D43" t="n">
        <x:f>IF(C43&lt;=$B$3,C43,"")</x:f>
        <x:v>0.575131177902221</x:v>
      </x:c>
      <x:c r="E43" t="str">
        <x:f>'Corr'!C4</x:f>
        <x:v>rec</x:v>
      </x:c>
      <x:c r="F43" t="str">
        <x:f>'Corr'!D4</x:f>
        <x:v>sfm</x:v>
      </x:c>
      <x:c r="G43" t="str">
        <x:f>'Corr'!E4</x:f>
        <x:v>v08</x:v>
      </x:c>
      <x:c r="H43" t="str">
        <x:f>'Corr'!F4</x:f>
        <x:v>p3000</x:v>
      </x:c>
      <x:c r="I43" t="str">
        <x:f>E43&amp;"-"&amp;F43</x:f>
        <x:v>rec-sfm</x:v>
      </x:c>
      <x:c r="K43" t="str">
        <x:f>IF(AND($I43="atc-sfm",$D43&lt;&gt;""),$B43,"")</x:f>
      </x:c>
      <x:c r="L43" t="str">
        <x:f>IF(AND($I43="atc-sfm",$D43&lt;&gt;""),$D43,"")</x:f>
      </x:c>
      <x:c r="M43" t="str">
        <x:f>IF(AND($I43="atc-rnd",$D43&lt;&gt;""),$B43,"")</x:f>
      </x:c>
      <x:c r="N43" t="str">
        <x:f>IF(AND($I43="atc-rnd",$D43&lt;&gt;""),$D43,"")</x:f>
      </x:c>
      <x:c r="O43" t="n">
        <x:f>IF(AND($I43="rec-sfm",$D43&lt;&gt;""),$B43,"")</x:f>
        <x:v>0.619435425162899</x:v>
      </x:c>
      <x:c r="P43" t="n">
        <x:f>IF(AND($I43="rec-sfm",$D43&lt;&gt;""),$D43,"")</x:f>
        <x:v>0.575131177902221</x:v>
      </x:c>
      <x:c r="Q43" t="str">
        <x:f>IF(AND($I43="rec-rnd",$D43&lt;&gt;""),$B43,"")</x:f>
      </x:c>
      <x:c r="R43" t="str">
        <x:f>IF(AND($I43="rec-rnd",$D43&lt;&gt;""),$D43,"")</x:f>
      </x:c>
      <x:c r="T43" t="str">
        <x:f>A9&amp;"-"&amp;B9</x:f>
        <x:v>rec-sfm</x:v>
      </x:c>
      <x:c r="U43" t="n">
        <x:f>C9</x:f>
        <x:v>0.7805411484479086</x:v>
      </x:c>
      <x:c r="V43" t="n">
        <x:f>D9</x:f>
        <x:v>0.43089974919954904</x:v>
      </x:c>
    </x:row>
    <x:row r="44">
      <x:c r="A44" t="str">
        <x:f>'Corr'!C5&amp;"-"&amp;'Corr'!D5&amp;"-"&amp;'Corr'!E5&amp;"-"&amp;'Corr'!F5</x:f>
        <x:v>atc-rnd-v18-p250</x:v>
      </x:c>
      <x:c r="B44" t="n">
        <x:f>'Corr'!B5</x:f>
        <x:v>0.926024961115735</x:v>
      </x:c>
      <x:c r="C44" t="n">
        <x:f>'MAE'!B5</x:f>
        <x:v>0.2858167886734</x:v>
      </x:c>
      <x:c r="D44" t="n">
        <x:f>IF(C44&lt;=$B$3,C44,"")</x:f>
        <x:v>0.2858167886734</x:v>
      </x:c>
      <x:c r="E44" t="str">
        <x:f>'Corr'!C5</x:f>
        <x:v>atc</x:v>
      </x:c>
      <x:c r="F44" t="str">
        <x:f>'Corr'!D5</x:f>
        <x:v>rnd</x:v>
      </x:c>
      <x:c r="G44" t="str">
        <x:f>'Corr'!E5</x:f>
        <x:v>v18</x:v>
      </x:c>
      <x:c r="H44" t="str">
        <x:f>'Corr'!F5</x:f>
        <x:v>p250</x:v>
      </x:c>
      <x:c r="I44" t="str">
        <x:f>E44&amp;"-"&amp;F44</x:f>
        <x:v>atc-rnd</x:v>
      </x:c>
      <x:c r="K44" t="str">
        <x:f>IF(AND($I44="atc-sfm",$D44&lt;&gt;""),$B44,"")</x:f>
      </x:c>
      <x:c r="L44" t="str">
        <x:f>IF(AND($I44="atc-sfm",$D44&lt;&gt;""),$D44,"")</x:f>
      </x:c>
      <x:c r="M44" t="n">
        <x:f>IF(AND($I44="atc-rnd",$D44&lt;&gt;""),$B44,"")</x:f>
        <x:v>0.926024961115735</x:v>
      </x:c>
      <x:c r="N44" t="n">
        <x:f>IF(AND($I44="atc-rnd",$D44&lt;&gt;""),$D44,"")</x:f>
        <x:v>0.2858167886734</x:v>
      </x:c>
      <x:c r="O44" t="str">
        <x:f>IF(AND($I44="rec-sfm",$D44&lt;&gt;""),$B44,"")</x:f>
      </x:c>
      <x:c r="P44" t="str">
        <x:f>IF(AND($I44="rec-sfm",$D44&lt;&gt;""),$D44,"")</x:f>
      </x:c>
      <x:c r="Q44" t="str">
        <x:f>IF(AND($I44="rec-rnd",$D44&lt;&gt;""),$B44,"")</x:f>
      </x:c>
      <x:c r="R44" t="str">
        <x:f>IF(AND($I44="rec-rnd",$D44&lt;&gt;""),$D44,"")</x:f>
      </x:c>
      <x:c r="T44" t="str">
        <x:f>A10&amp;"-"&amp;B10</x:f>
        <x:v>rec-rnd</x:v>
      </x:c>
      <x:c r="U44" t="n">
        <x:f>C10</x:f>
        <x:v>0.8685361705700232</x:v>
      </x:c>
      <x:c r="V44" t="n">
        <x:f>D10</x:f>
        <x:v>0.31947870688004887</x:v>
      </x:c>
    </x:row>
    <x:row r="45">
      <x:c r="A45" t="str">
        <x:f>'Corr'!C6&amp;"-"&amp;'Corr'!D6&amp;"-"&amp;'Corr'!E6&amp;"-"&amp;'Corr'!F6</x:f>
        <x:v>rec-rnd-v13-p50</x:v>
      </x:c>
      <x:c r="B45" t="n">
        <x:f>'Corr'!B6</x:f>
        <x:v>0.797172795231219</x:v>
      </x:c>
      <x:c r="C45" t="n">
        <x:f>'MAE'!B6</x:f>
        <x:v>0.337867885828018</x:v>
      </x:c>
      <x:c r="D45" t="n">
        <x:f>IF(C45&lt;=$B$3,C45,"")</x:f>
        <x:v>0.337867885828018</x:v>
      </x:c>
      <x:c r="E45" t="str">
        <x:f>'Corr'!C6</x:f>
        <x:v>rec</x:v>
      </x:c>
      <x:c r="F45" t="str">
        <x:f>'Corr'!D6</x:f>
        <x:v>rnd</x:v>
      </x:c>
      <x:c r="G45" t="str">
        <x:f>'Corr'!E6</x:f>
        <x:v>v13</x:v>
      </x:c>
      <x:c r="H45" t="str">
        <x:f>'Corr'!F6</x:f>
        <x:v>p50</x:v>
      </x:c>
      <x:c r="I45" t="str">
        <x:f>E45&amp;"-"&amp;F45</x:f>
        <x:v>rec-rnd</x:v>
      </x:c>
      <x:c r="K45" t="str">
        <x:f>IF(AND($I45="atc-sfm",$D45&lt;&gt;""),$B45,"")</x:f>
      </x:c>
      <x:c r="L45" t="str">
        <x:f>IF(AND($I45="atc-sfm",$D45&lt;&gt;""),$D45,"")</x:f>
      </x:c>
      <x:c r="M45" t="str">
        <x:f>IF(AND($I45="atc-rnd",$D45&lt;&gt;""),$B45,"")</x:f>
      </x:c>
      <x:c r="N45" t="str">
        <x:f>IF(AND($I45="atc-rnd",$D45&lt;&gt;""),$D45,"")</x:f>
      </x:c>
      <x:c r="O45" t="str">
        <x:f>IF(AND($I45="rec-sfm",$D45&lt;&gt;""),$B45,"")</x:f>
      </x:c>
      <x:c r="P45" t="str">
        <x:f>IF(AND($I45="rec-sfm",$D45&lt;&gt;""),$D45,"")</x:f>
      </x:c>
      <x:c r="Q45" t="n">
        <x:f>IF(AND($I45="rec-rnd",$D45&lt;&gt;""),$B45,"")</x:f>
        <x:v>0.797172795231219</x:v>
      </x:c>
      <x:c r="R45" t="n">
        <x:f>IF(AND($I45="rec-rnd",$D45&lt;&gt;""),$D45,"")</x:f>
        <x:v>0.337867885828018</x:v>
      </x:c>
    </x:row>
    <x:row r="46">
      <x:c r="A46" t="str">
        <x:f>'Corr'!C7&amp;"-"&amp;'Corr'!D7&amp;"-"&amp;'Corr'!E7&amp;"-"&amp;'Corr'!F7</x:f>
        <x:v>rec-rnd-v13-p100</x:v>
      </x:c>
      <x:c r="B46" t="n">
        <x:f>'Corr'!B7</x:f>
        <x:v>0.862798623636944</x:v>
      </x:c>
      <x:c r="C46" t="n">
        <x:f>'MAE'!B7</x:f>
        <x:v>0.268049091100692</x:v>
      </x:c>
      <x:c r="D46" t="n">
        <x:f>IF(C46&lt;=$B$3,C46,"")</x:f>
        <x:v>0.268049091100692</x:v>
      </x:c>
      <x:c r="E46" t="str">
        <x:f>'Corr'!C7</x:f>
        <x:v>rec</x:v>
      </x:c>
      <x:c r="F46" t="str">
        <x:f>'Corr'!D7</x:f>
        <x:v>rnd</x:v>
      </x:c>
      <x:c r="G46" t="str">
        <x:f>'Corr'!E7</x:f>
        <x:v>v13</x:v>
      </x:c>
      <x:c r="H46" t="str">
        <x:f>'Corr'!F7</x:f>
        <x:v>p100</x:v>
      </x:c>
      <x:c r="I46" t="str">
        <x:f>E46&amp;"-"&amp;F46</x:f>
        <x:v>rec-rnd</x:v>
      </x:c>
      <x:c r="K46" t="str">
        <x:f>IF(AND($I46="atc-sfm",$D46&lt;&gt;""),$B46,"")</x:f>
      </x:c>
      <x:c r="L46" t="str">
        <x:f>IF(AND($I46="atc-sfm",$D46&lt;&gt;""),$D46,"")</x:f>
      </x:c>
      <x:c r="M46" t="str">
        <x:f>IF(AND($I46="atc-rnd",$D46&lt;&gt;""),$B46,"")</x:f>
      </x:c>
      <x:c r="N46" t="str">
        <x:f>IF(AND($I46="atc-rnd",$D46&lt;&gt;""),$D46,"")</x:f>
      </x:c>
      <x:c r="O46" t="str">
        <x:f>IF(AND($I46="rec-sfm",$D46&lt;&gt;""),$B46,"")</x:f>
      </x:c>
      <x:c r="P46" t="str">
        <x:f>IF(AND($I46="rec-sfm",$D46&lt;&gt;""),$D46,"")</x:f>
      </x:c>
      <x:c r="Q46" t="n">
        <x:f>IF(AND($I46="rec-rnd",$D46&lt;&gt;""),$B46,"")</x:f>
        <x:v>0.862798623636944</x:v>
      </x:c>
      <x:c r="R46" t="n">
        <x:f>IF(AND($I46="rec-rnd",$D46&lt;&gt;""),$D46,"")</x:f>
        <x:v>0.268049091100692</x:v>
      </x:c>
    </x:row>
    <x:row r="47">
      <x:c r="A47" t="str">
        <x:f>'Corr'!C8&amp;"-"&amp;'Corr'!D8&amp;"-"&amp;'Corr'!E8&amp;"-"&amp;'Corr'!F8</x:f>
        <x:v>atc-sfm-v18-p3000</x:v>
      </x:c>
      <x:c r="B47" t="n">
        <x:f>'Corr'!B8</x:f>
        <x:v>0.660010284136452</x:v>
      </x:c>
      <x:c r="C47" t="n">
        <x:f>'MAE'!B8</x:f>
        <x:v>0.527127146720886</x:v>
      </x:c>
      <x:c r="D47" t="n">
        <x:f>IF(C47&lt;=$B$3,C47,"")</x:f>
        <x:v>0.527127146720886</x:v>
      </x:c>
      <x:c r="E47" t="str">
        <x:f>'Corr'!C8</x:f>
        <x:v>atc</x:v>
      </x:c>
      <x:c r="F47" t="str">
        <x:f>'Corr'!D8</x:f>
        <x:v>sfm</x:v>
      </x:c>
      <x:c r="G47" t="str">
        <x:f>'Corr'!E8</x:f>
        <x:v>v18</x:v>
      </x:c>
      <x:c r="H47" t="str">
        <x:f>'Corr'!F8</x:f>
        <x:v>p3000</x:v>
      </x:c>
      <x:c r="I47" t="str">
        <x:f>E47&amp;"-"&amp;F47</x:f>
        <x:v>atc-sfm</x:v>
      </x:c>
      <x:c r="K47" t="n">
        <x:f>IF(AND($I47="atc-sfm",$D47&lt;&gt;""),$B47,"")</x:f>
        <x:v>0.660010284136452</x:v>
      </x:c>
      <x:c r="L47" t="n">
        <x:f>IF(AND($I47="atc-sfm",$D47&lt;&gt;""),$D47,"")</x:f>
        <x:v>0.527127146720886</x:v>
      </x:c>
      <x:c r="M47" t="str">
        <x:f>IF(AND($I47="atc-rnd",$D47&lt;&gt;""),$B47,"")</x:f>
      </x:c>
      <x:c r="N47" t="str">
        <x:f>IF(AND($I47="atc-rnd",$D47&lt;&gt;""),$D47,"")</x:f>
      </x:c>
      <x:c r="O47" t="str">
        <x:f>IF(AND($I47="rec-sfm",$D47&lt;&gt;""),$B47,"")</x:f>
      </x:c>
      <x:c r="P47" t="str">
        <x:f>IF(AND($I47="rec-sfm",$D47&lt;&gt;""),$D47,"")</x:f>
      </x:c>
      <x:c r="Q47" t="str">
        <x:f>IF(AND($I47="rec-rnd",$D47&lt;&gt;""),$B47,"")</x:f>
      </x:c>
      <x:c r="R47" t="str">
        <x:f>IF(AND($I47="rec-rnd",$D47&lt;&gt;""),$D47,"")</x:f>
      </x:c>
    </x:row>
    <x:row r="48">
      <x:c r="A48" t="str">
        <x:f>'Corr'!C9&amp;"-"&amp;'Corr'!D9&amp;"-"&amp;'Corr'!E9&amp;"-"&amp;'Corr'!F9</x:f>
        <x:v>rec-rnd-v13-p2500</x:v>
      </x:c>
      <x:c r="B48" t="n">
        <x:f>'Corr'!B9</x:f>
        <x:v>0.901647491969616</x:v>
      </x:c>
      <x:c r="C48" t="n">
        <x:f>'MAE'!B9</x:f>
        <x:v>0.33680248260498</x:v>
      </x:c>
      <x:c r="D48" t="n">
        <x:f>IF(C48&lt;=$B$3,C48,"")</x:f>
        <x:v>0.33680248260498</x:v>
      </x:c>
      <x:c r="E48" t="str">
        <x:f>'Corr'!C9</x:f>
        <x:v>rec</x:v>
      </x:c>
      <x:c r="F48" t="str">
        <x:f>'Corr'!D9</x:f>
        <x:v>rnd</x:v>
      </x:c>
      <x:c r="G48" t="str">
        <x:f>'Corr'!E9</x:f>
        <x:v>v13</x:v>
      </x:c>
      <x:c r="H48" t="str">
        <x:f>'Corr'!F9</x:f>
        <x:v>p2500</x:v>
      </x:c>
      <x:c r="I48" t="str">
        <x:f>E48&amp;"-"&amp;F48</x:f>
        <x:v>rec-rnd</x:v>
      </x:c>
      <x:c r="K48" t="str">
        <x:f>IF(AND($I48="atc-sfm",$D48&lt;&gt;""),$B48,"")</x:f>
      </x:c>
      <x:c r="L48" t="str">
        <x:f>IF(AND($I48="atc-sfm",$D48&lt;&gt;""),$D48,"")</x:f>
      </x:c>
      <x:c r="M48" t="str">
        <x:f>IF(AND($I48="atc-rnd",$D48&lt;&gt;""),$B48,"")</x:f>
      </x:c>
      <x:c r="N48" t="str">
        <x:f>IF(AND($I48="atc-rnd",$D48&lt;&gt;""),$D48,"")</x:f>
      </x:c>
      <x:c r="O48" t="str">
        <x:f>IF(AND($I48="rec-sfm",$D48&lt;&gt;""),$B48,"")</x:f>
      </x:c>
      <x:c r="P48" t="str">
        <x:f>IF(AND($I48="rec-sfm",$D48&lt;&gt;""),$D48,"")</x:f>
      </x:c>
      <x:c r="Q48" t="n">
        <x:f>IF(AND($I48="rec-rnd",$D48&lt;&gt;""),$B48,"")</x:f>
        <x:v>0.901647491969616</x:v>
      </x:c>
      <x:c r="R48" t="n">
        <x:f>IF(AND($I48="rec-rnd",$D48&lt;&gt;""),$D48,"")</x:f>
        <x:v>0.33680248260498</x:v>
      </x:c>
    </x:row>
    <x:row r="49">
      <x:c r="A49" t="str">
        <x:f>'Corr'!C10&amp;"-"&amp;'Corr'!D10&amp;"-"&amp;'Corr'!E10&amp;"-"&amp;'Corr'!F10</x:f>
        <x:v>atc-rnd-v13-p2500</x:v>
      </x:c>
      <x:c r="B49" t="n">
        <x:f>'Corr'!B10</x:f>
        <x:v>0.910612340273438</x:v>
      </x:c>
      <x:c r="C49" t="n">
        <x:f>'MAE'!B10</x:f>
        <x:v>0.281204670667648</x:v>
      </x:c>
      <x:c r="D49" t="n">
        <x:f>IF(C49&lt;=$B$3,C49,"")</x:f>
        <x:v>0.281204670667648</x:v>
      </x:c>
      <x:c r="E49" t="str">
        <x:f>'Corr'!C10</x:f>
        <x:v>atc</x:v>
      </x:c>
      <x:c r="F49" t="str">
        <x:f>'Corr'!D10</x:f>
        <x:v>rnd</x:v>
      </x:c>
      <x:c r="G49" t="str">
        <x:f>'Corr'!E10</x:f>
        <x:v>v13</x:v>
      </x:c>
      <x:c r="H49" t="str">
        <x:f>'Corr'!F10</x:f>
        <x:v>p2500</x:v>
      </x:c>
      <x:c r="I49" t="str">
        <x:f>E49&amp;"-"&amp;F49</x:f>
        <x:v>atc-rnd</x:v>
      </x:c>
      <x:c r="K49" t="str">
        <x:f>IF(AND($I49="atc-sfm",$D49&lt;&gt;""),$B49,"")</x:f>
      </x:c>
      <x:c r="L49" t="str">
        <x:f>IF(AND($I49="atc-sfm",$D49&lt;&gt;""),$D49,"")</x:f>
      </x:c>
      <x:c r="M49" t="n">
        <x:f>IF(AND($I49="atc-rnd",$D49&lt;&gt;""),$B49,"")</x:f>
        <x:v>0.910612340273438</x:v>
      </x:c>
      <x:c r="N49" t="n">
        <x:f>IF(AND($I49="atc-rnd",$D49&lt;&gt;""),$D49,"")</x:f>
        <x:v>0.281204670667648</x:v>
      </x:c>
      <x:c r="O49" t="str">
        <x:f>IF(AND($I49="rec-sfm",$D49&lt;&gt;""),$B49,"")</x:f>
      </x:c>
      <x:c r="P49" t="str">
        <x:f>IF(AND($I49="rec-sfm",$D49&lt;&gt;""),$D49,"")</x:f>
      </x:c>
      <x:c r="Q49" t="str">
        <x:f>IF(AND($I49="rec-rnd",$D49&lt;&gt;""),$B49,"")</x:f>
      </x:c>
      <x:c r="R49" t="str">
        <x:f>IF(AND($I49="rec-rnd",$D49&lt;&gt;""),$D49,"")</x:f>
      </x:c>
    </x:row>
    <x:row r="50">
      <x:c r="A50" t="str">
        <x:f>'Corr'!C11&amp;"-"&amp;'Corr'!D11&amp;"-"&amp;'Corr'!E11&amp;"-"&amp;'Corr'!F11</x:f>
        <x:v>atc-rnd-v18-p100</x:v>
      </x:c>
      <x:c r="B50" t="n">
        <x:f>'Corr'!B11</x:f>
        <x:v>0.90203186498691</x:v>
      </x:c>
      <x:c r="C50" t="n">
        <x:f>'MAE'!B11</x:f>
        <x:v>0.267965197563171</x:v>
      </x:c>
      <x:c r="D50" t="n">
        <x:f>IF(C50&lt;=$B$3,C50,"")</x:f>
        <x:v>0.267965197563171</x:v>
      </x:c>
      <x:c r="E50" t="str">
        <x:f>'Corr'!C11</x:f>
        <x:v>atc</x:v>
      </x:c>
      <x:c r="F50" t="str">
        <x:f>'Corr'!D11</x:f>
        <x:v>rnd</x:v>
      </x:c>
      <x:c r="G50" t="str">
        <x:f>'Corr'!E11</x:f>
        <x:v>v18</x:v>
      </x:c>
      <x:c r="H50" t="str">
        <x:f>'Corr'!F11</x:f>
        <x:v>p100</x:v>
      </x:c>
      <x:c r="I50" t="str">
        <x:f>E50&amp;"-"&amp;F50</x:f>
        <x:v>atc-rnd</x:v>
      </x:c>
      <x:c r="K50" t="str">
        <x:f>IF(AND($I50="atc-sfm",$D50&lt;&gt;""),$B50,"")</x:f>
      </x:c>
      <x:c r="L50" t="str">
        <x:f>IF(AND($I50="atc-sfm",$D50&lt;&gt;""),$D50,"")</x:f>
      </x:c>
      <x:c r="M50" t="n">
        <x:f>IF(AND($I50="atc-rnd",$D50&lt;&gt;""),$B50,"")</x:f>
        <x:v>0.90203186498691</x:v>
      </x:c>
      <x:c r="N50" t="n">
        <x:f>IF(AND($I50="atc-rnd",$D50&lt;&gt;""),$D50,"")</x:f>
        <x:v>0.267965197563171</x:v>
      </x:c>
      <x:c r="O50" t="str">
        <x:f>IF(AND($I50="rec-sfm",$D50&lt;&gt;""),$B50,"")</x:f>
      </x:c>
      <x:c r="P50" t="str">
        <x:f>IF(AND($I50="rec-sfm",$D50&lt;&gt;""),$D50,"")</x:f>
      </x:c>
      <x:c r="Q50" t="str">
        <x:f>IF(AND($I50="rec-rnd",$D50&lt;&gt;""),$B50,"")</x:f>
      </x:c>
      <x:c r="R50" t="str">
        <x:f>IF(AND($I50="rec-rnd",$D50&lt;&gt;""),$D50,"")</x:f>
      </x:c>
    </x:row>
    <x:row r="51">
      <x:c r="A51" t="str">
        <x:f>'Corr'!C12&amp;"-"&amp;'Corr'!D12&amp;"-"&amp;'Corr'!E12&amp;"-"&amp;'Corr'!F12</x:f>
        <x:v>atc-sfm-v18-p250</x:v>
      </x:c>
      <x:c r="B51" t="n">
        <x:f>'Corr'!B12</x:f>
        <x:v>0.792919388848079</x:v>
      </x:c>
      <x:c r="C51" t="n">
        <x:f>'MAE'!B12</x:f>
        <x:v>0.300412684679031</x:v>
      </x:c>
      <x:c r="D51" t="n">
        <x:f>IF(C51&lt;=$B$3,C51,"")</x:f>
        <x:v>0.300412684679031</x:v>
      </x:c>
      <x:c r="E51" t="str">
        <x:f>'Corr'!C12</x:f>
        <x:v>atc</x:v>
      </x:c>
      <x:c r="F51" t="str">
        <x:f>'Corr'!D12</x:f>
        <x:v>sfm</x:v>
      </x:c>
      <x:c r="G51" t="str">
        <x:f>'Corr'!E12</x:f>
        <x:v>v18</x:v>
      </x:c>
      <x:c r="H51" t="str">
        <x:f>'Corr'!F12</x:f>
        <x:v>p250</x:v>
      </x:c>
      <x:c r="I51" t="str">
        <x:f>E51&amp;"-"&amp;F51</x:f>
        <x:v>atc-sfm</x:v>
      </x:c>
      <x:c r="K51" t="n">
        <x:f>IF(AND($I51="atc-sfm",$D51&lt;&gt;""),$B51,"")</x:f>
        <x:v>0.792919388848079</x:v>
      </x:c>
      <x:c r="L51" t="n">
        <x:f>IF(AND($I51="atc-sfm",$D51&lt;&gt;""),$D51,"")</x:f>
        <x:v>0.300412684679031</x:v>
      </x:c>
      <x:c r="M51" t="str">
        <x:f>IF(AND($I51="atc-rnd",$D51&lt;&gt;""),$B51,"")</x:f>
      </x:c>
      <x:c r="N51" t="str">
        <x:f>IF(AND($I51="atc-rnd",$D51&lt;&gt;""),$D51,"")</x:f>
      </x:c>
      <x:c r="O51" t="str">
        <x:f>IF(AND($I51="rec-sfm",$D51&lt;&gt;""),$B51,"")</x:f>
      </x:c>
      <x:c r="P51" t="str">
        <x:f>IF(AND($I51="rec-sfm",$D51&lt;&gt;""),$D51,"")</x:f>
      </x:c>
      <x:c r="Q51" t="str">
        <x:f>IF(AND($I51="rec-rnd",$D51&lt;&gt;""),$B51,"")</x:f>
      </x:c>
      <x:c r="R51" t="str">
        <x:f>IF(AND($I51="rec-rnd",$D51&lt;&gt;""),$D51,"")</x:f>
      </x:c>
    </x:row>
    <x:row r="52">
      <x:c r="A52" t="str">
        <x:f>'Corr'!C13&amp;"-"&amp;'Corr'!D13&amp;"-"&amp;'Corr'!E13&amp;"-"&amp;'Corr'!F13</x:f>
        <x:v>rec-rnd-v13-p2000</x:v>
      </x:c>
      <x:c r="B52" t="n">
        <x:f>'Corr'!B13</x:f>
        <x:v>0.916153933669547</x:v>
      </x:c>
      <x:c r="C52" t="n">
        <x:f>'MAE'!B13</x:f>
        <x:v>0.284168154001235</x:v>
      </x:c>
      <x:c r="D52" t="n">
        <x:f>IF(C52&lt;=$B$3,C52,"")</x:f>
        <x:v>0.284168154001235</x:v>
      </x:c>
      <x:c r="E52" t="str">
        <x:f>'Corr'!C13</x:f>
        <x:v>rec</x:v>
      </x:c>
      <x:c r="F52" t="str">
        <x:f>'Corr'!D13</x:f>
        <x:v>rnd</x:v>
      </x:c>
      <x:c r="G52" t="str">
        <x:f>'Corr'!E13</x:f>
        <x:v>v13</x:v>
      </x:c>
      <x:c r="H52" t="str">
        <x:f>'Corr'!F13</x:f>
        <x:v>p2000</x:v>
      </x:c>
      <x:c r="I52" t="str">
        <x:f>E52&amp;"-"&amp;F52</x:f>
        <x:v>rec-rnd</x:v>
      </x:c>
      <x:c r="K52" t="str">
        <x:f>IF(AND($I52="atc-sfm",$D52&lt;&gt;""),$B52,"")</x:f>
      </x:c>
      <x:c r="L52" t="str">
        <x:f>IF(AND($I52="atc-sfm",$D52&lt;&gt;""),$D52,"")</x:f>
      </x:c>
      <x:c r="M52" t="str">
        <x:f>IF(AND($I52="atc-rnd",$D52&lt;&gt;""),$B52,"")</x:f>
      </x:c>
      <x:c r="N52" t="str">
        <x:f>IF(AND($I52="atc-rnd",$D52&lt;&gt;""),$D52,"")</x:f>
      </x:c>
      <x:c r="O52" t="str">
        <x:f>IF(AND($I52="rec-sfm",$D52&lt;&gt;""),$B52,"")</x:f>
      </x:c>
      <x:c r="P52" t="str">
        <x:f>IF(AND($I52="rec-sfm",$D52&lt;&gt;""),$D52,"")</x:f>
      </x:c>
      <x:c r="Q52" t="n">
        <x:f>IF(AND($I52="rec-rnd",$D52&lt;&gt;""),$B52,"")</x:f>
        <x:v>0.916153933669547</x:v>
      </x:c>
      <x:c r="R52" t="n">
        <x:f>IF(AND($I52="rec-rnd",$D52&lt;&gt;""),$D52,"")</x:f>
        <x:v>0.284168154001235</x:v>
      </x:c>
    </x:row>
    <x:row r="53">
      <x:c r="A53" t="str">
        <x:f>'Corr'!C14&amp;"-"&amp;'Corr'!D14&amp;"-"&amp;'Corr'!E14&amp;"-"&amp;'Corr'!F14</x:f>
        <x:v>rec-rnd-v13-p250</x:v>
      </x:c>
      <x:c r="B53" t="n">
        <x:f>'Corr'!B14</x:f>
        <x:v>0.897066952497451</x:v>
      </x:c>
      <x:c r="C53" t="n">
        <x:f>'MAE'!B14</x:f>
        <x:v>0.241784632205963</x:v>
      </x:c>
      <x:c r="D53" t="n">
        <x:f>IF(C53&lt;=$B$3,C53,"")</x:f>
        <x:v>0.241784632205963</x:v>
      </x:c>
      <x:c r="E53" t="str">
        <x:f>'Corr'!C14</x:f>
        <x:v>rec</x:v>
      </x:c>
      <x:c r="F53" t="str">
        <x:f>'Corr'!D14</x:f>
        <x:v>rnd</x:v>
      </x:c>
      <x:c r="G53" t="str">
        <x:f>'Corr'!E14</x:f>
        <x:v>v13</x:v>
      </x:c>
      <x:c r="H53" t="str">
        <x:f>'Corr'!F14</x:f>
        <x:v>p250</x:v>
      </x:c>
      <x:c r="I53" t="str">
        <x:f>E53&amp;"-"&amp;F53</x:f>
        <x:v>rec-rnd</x:v>
      </x:c>
      <x:c r="K53" t="str">
        <x:f>IF(AND($I53="atc-sfm",$D53&lt;&gt;""),$B53,"")</x:f>
      </x:c>
      <x:c r="L53" t="str">
        <x:f>IF(AND($I53="atc-sfm",$D53&lt;&gt;""),$D53,"")</x:f>
      </x:c>
      <x:c r="M53" t="str">
        <x:f>IF(AND($I53="atc-rnd",$D53&lt;&gt;""),$B53,"")</x:f>
      </x:c>
      <x:c r="N53" t="str">
        <x:f>IF(AND($I53="atc-rnd",$D53&lt;&gt;""),$D53,"")</x:f>
      </x:c>
      <x:c r="O53" t="str">
        <x:f>IF(AND($I53="rec-sfm",$D53&lt;&gt;""),$B53,"")</x:f>
      </x:c>
      <x:c r="P53" t="str">
        <x:f>IF(AND($I53="rec-sfm",$D53&lt;&gt;""),$D53,"")</x:f>
      </x:c>
      <x:c r="Q53" t="n">
        <x:f>IF(AND($I53="rec-rnd",$D53&lt;&gt;""),$B53,"")</x:f>
        <x:v>0.897066952497451</x:v>
      </x:c>
      <x:c r="R53" t="n">
        <x:f>IF(AND($I53="rec-rnd",$D53&lt;&gt;""),$D53,"")</x:f>
        <x:v>0.241784632205963</x:v>
      </x:c>
    </x:row>
    <x:row r="54">
      <x:c r="A54" t="str">
        <x:f>'Corr'!C15&amp;"-"&amp;'Corr'!D15&amp;"-"&amp;'Corr'!E15&amp;"-"&amp;'Corr'!F15</x:f>
        <x:v>atc-sfm-v13-p50</x:v>
      </x:c>
      <x:c r="B54" t="n">
        <x:f>'Corr'!B15</x:f>
        <x:v>0.650813344784147</x:v>
      </x:c>
      <x:c r="C54" t="n">
        <x:f>'MAE'!B15</x:f>
        <x:v>0.436028480529785</x:v>
      </x:c>
      <x:c r="D54" t="n">
        <x:f>IF(C54&lt;=$B$3,C54,"")</x:f>
        <x:v>0.436028480529785</x:v>
      </x:c>
      <x:c r="E54" t="str">
        <x:f>'Corr'!C15</x:f>
        <x:v>atc</x:v>
      </x:c>
      <x:c r="F54" t="str">
        <x:f>'Corr'!D15</x:f>
        <x:v>sfm</x:v>
      </x:c>
      <x:c r="G54" t="str">
        <x:f>'Corr'!E15</x:f>
        <x:v>v13</x:v>
      </x:c>
      <x:c r="H54" t="str">
        <x:f>'Corr'!F15</x:f>
        <x:v>p50</x:v>
      </x:c>
      <x:c r="I54" t="str">
        <x:f>E54&amp;"-"&amp;F54</x:f>
        <x:v>atc-sfm</x:v>
      </x:c>
      <x:c r="K54" t="n">
        <x:f>IF(AND($I54="atc-sfm",$D54&lt;&gt;""),$B54,"")</x:f>
        <x:v>0.650813344784147</x:v>
      </x:c>
      <x:c r="L54" t="n">
        <x:f>IF(AND($I54="atc-sfm",$D54&lt;&gt;""),$D54,"")</x:f>
        <x:v>0.436028480529785</x:v>
      </x:c>
      <x:c r="M54" t="str">
        <x:f>IF(AND($I54="atc-rnd",$D54&lt;&gt;""),$B54,"")</x:f>
      </x:c>
      <x:c r="N54" t="str">
        <x:f>IF(AND($I54="atc-rnd",$D54&lt;&gt;""),$D54,"")</x:f>
      </x:c>
      <x:c r="O54" t="str">
        <x:f>IF(AND($I54="rec-sfm",$D54&lt;&gt;""),$B54,"")</x:f>
      </x:c>
      <x:c r="P54" t="str">
        <x:f>IF(AND($I54="rec-sfm",$D54&lt;&gt;""),$D54,"")</x:f>
      </x:c>
      <x:c r="Q54" t="str">
        <x:f>IF(AND($I54="rec-rnd",$D54&lt;&gt;""),$B54,"")</x:f>
      </x:c>
      <x:c r="R54" t="str">
        <x:f>IF(AND($I54="rec-rnd",$D54&lt;&gt;""),$D54,"")</x:f>
      </x:c>
    </x:row>
    <x:row r="55">
      <x:c r="A55" t="str">
        <x:f>'Corr'!C16&amp;"-"&amp;'Corr'!D16&amp;"-"&amp;'Corr'!E16&amp;"-"&amp;'Corr'!F16</x:f>
        <x:v>atc-rnd-v18-p500</x:v>
      </x:c>
      <x:c r="B55" t="n">
        <x:f>'Corr'!B16</x:f>
        <x:v>0.907637504421323</x:v>
      </x:c>
      <x:c r="C55" t="n">
        <x:f>'MAE'!B16</x:f>
        <x:v>0.395123928785324</x:v>
      </x:c>
      <x:c r="D55" t="n">
        <x:f>IF(C55&lt;=$B$3,C55,"")</x:f>
        <x:v>0.395123928785324</x:v>
      </x:c>
      <x:c r="E55" t="str">
        <x:f>'Corr'!C16</x:f>
        <x:v>atc</x:v>
      </x:c>
      <x:c r="F55" t="str">
        <x:f>'Corr'!D16</x:f>
        <x:v>rnd</x:v>
      </x:c>
      <x:c r="G55" t="str">
        <x:f>'Corr'!E16</x:f>
        <x:v>v18</x:v>
      </x:c>
      <x:c r="H55" t="str">
        <x:f>'Corr'!F16</x:f>
        <x:v>p500</x:v>
      </x:c>
      <x:c r="I55" t="str">
        <x:f>E55&amp;"-"&amp;F55</x:f>
        <x:v>atc-rnd</x:v>
      </x:c>
      <x:c r="K55" t="str">
        <x:f>IF(AND($I55="atc-sfm",$D55&lt;&gt;""),$B55,"")</x:f>
      </x:c>
      <x:c r="L55" t="str">
        <x:f>IF(AND($I55="atc-sfm",$D55&lt;&gt;""),$D55,"")</x:f>
      </x:c>
      <x:c r="M55" t="n">
        <x:f>IF(AND($I55="atc-rnd",$D55&lt;&gt;""),$B55,"")</x:f>
        <x:v>0.907637504421323</x:v>
      </x:c>
      <x:c r="N55" t="n">
        <x:f>IF(AND($I55="atc-rnd",$D55&lt;&gt;""),$D55,"")</x:f>
        <x:v>0.395123928785324</x:v>
      </x:c>
      <x:c r="O55" t="str">
        <x:f>IF(AND($I55="rec-sfm",$D55&lt;&gt;""),$B55,"")</x:f>
      </x:c>
      <x:c r="P55" t="str">
        <x:f>IF(AND($I55="rec-sfm",$D55&lt;&gt;""),$D55,"")</x:f>
      </x:c>
      <x:c r="Q55" t="str">
        <x:f>IF(AND($I55="rec-rnd",$D55&lt;&gt;""),$B55,"")</x:f>
      </x:c>
      <x:c r="R55" t="str">
        <x:f>IF(AND($I55="rec-rnd",$D55&lt;&gt;""),$D55,"")</x:f>
      </x:c>
    </x:row>
    <x:row r="56">
      <x:c r="A56" t="str">
        <x:f>'Corr'!C17&amp;"-"&amp;'Corr'!D17&amp;"-"&amp;'Corr'!E17&amp;"-"&amp;'Corr'!F17</x:f>
        <x:v>rec-rnd-v13-p1000</x:v>
      </x:c>
      <x:c r="B56" t="n">
        <x:f>'Corr'!B17</x:f>
        <x:v>0.910898672190711</x:v>
      </x:c>
      <x:c r="C56" t="n">
        <x:f>'MAE'!B17</x:f>
        <x:v>0.295566946268081</x:v>
      </x:c>
      <x:c r="D56" t="n">
        <x:f>IF(C56&lt;=$B$3,C56,"")</x:f>
        <x:v>0.295566946268081</x:v>
      </x:c>
      <x:c r="E56" t="str">
        <x:f>'Corr'!C17</x:f>
        <x:v>rec</x:v>
      </x:c>
      <x:c r="F56" t="str">
        <x:f>'Corr'!D17</x:f>
        <x:v>rnd</x:v>
      </x:c>
      <x:c r="G56" t="str">
        <x:f>'Corr'!E17</x:f>
        <x:v>v13</x:v>
      </x:c>
      <x:c r="H56" t="str">
        <x:f>'Corr'!F17</x:f>
        <x:v>p1000</x:v>
      </x:c>
      <x:c r="I56" t="str">
        <x:f>E56&amp;"-"&amp;F56</x:f>
        <x:v>rec-rnd</x:v>
      </x:c>
      <x:c r="K56" t="str">
        <x:f>IF(AND($I56="atc-sfm",$D56&lt;&gt;""),$B56,"")</x:f>
      </x:c>
      <x:c r="L56" t="str">
        <x:f>IF(AND($I56="atc-sfm",$D56&lt;&gt;""),$D56,"")</x:f>
      </x:c>
      <x:c r="M56" t="str">
        <x:f>IF(AND($I56="atc-rnd",$D56&lt;&gt;""),$B56,"")</x:f>
      </x:c>
      <x:c r="N56" t="str">
        <x:f>IF(AND($I56="atc-rnd",$D56&lt;&gt;""),$D56,"")</x:f>
      </x:c>
      <x:c r="O56" t="str">
        <x:f>IF(AND($I56="rec-sfm",$D56&lt;&gt;""),$B56,"")</x:f>
      </x:c>
      <x:c r="P56" t="str">
        <x:f>IF(AND($I56="rec-sfm",$D56&lt;&gt;""),$D56,"")</x:f>
      </x:c>
      <x:c r="Q56" t="n">
        <x:f>IF(AND($I56="rec-rnd",$D56&lt;&gt;""),$B56,"")</x:f>
        <x:v>0.910898672190711</x:v>
      </x:c>
      <x:c r="R56" t="n">
        <x:f>IF(AND($I56="rec-rnd",$D56&lt;&gt;""),$D56,"")</x:f>
        <x:v>0.295566946268081</x:v>
      </x:c>
    </x:row>
    <x:row r="57">
      <x:c r="A57" t="str">
        <x:f>'Corr'!C18&amp;"-"&amp;'Corr'!D18&amp;"-"&amp;'Corr'!E18&amp;"-"&amp;'Corr'!F18</x:f>
        <x:v>atc-rnd-v13-p1500</x:v>
      </x:c>
      <x:c r="B57" t="n">
        <x:f>'Corr'!B18</x:f>
        <x:v>0.916524184569321</x:v>
      </x:c>
      <x:c r="C57" t="n">
        <x:f>'MAE'!B18</x:f>
        <x:v>0.329974621534347</x:v>
      </x:c>
      <x:c r="D57" t="n">
        <x:f>IF(C57&lt;=$B$3,C57,"")</x:f>
        <x:v>0.329974621534347</x:v>
      </x:c>
      <x:c r="E57" t="str">
        <x:f>'Corr'!C18</x:f>
        <x:v>atc</x:v>
      </x:c>
      <x:c r="F57" t="str">
        <x:f>'Corr'!D18</x:f>
        <x:v>rnd</x:v>
      </x:c>
      <x:c r="G57" t="str">
        <x:f>'Corr'!E18</x:f>
        <x:v>v13</x:v>
      </x:c>
      <x:c r="H57" t="str">
        <x:f>'Corr'!F18</x:f>
        <x:v>p1500</x:v>
      </x:c>
      <x:c r="I57" t="str">
        <x:f>E57&amp;"-"&amp;F57</x:f>
        <x:v>atc-rnd</x:v>
      </x:c>
      <x:c r="K57" t="str">
        <x:f>IF(AND($I57="atc-sfm",$D57&lt;&gt;""),$B57,"")</x:f>
      </x:c>
      <x:c r="L57" t="str">
        <x:f>IF(AND($I57="atc-sfm",$D57&lt;&gt;""),$D57,"")</x:f>
      </x:c>
      <x:c r="M57" t="n">
        <x:f>IF(AND($I57="atc-rnd",$D57&lt;&gt;""),$B57,"")</x:f>
        <x:v>0.916524184569321</x:v>
      </x:c>
      <x:c r="N57" t="n">
        <x:f>IF(AND($I57="atc-rnd",$D57&lt;&gt;""),$D57,"")</x:f>
        <x:v>0.329974621534347</x:v>
      </x:c>
      <x:c r="O57" t="str">
        <x:f>IF(AND($I57="rec-sfm",$D57&lt;&gt;""),$B57,"")</x:f>
      </x:c>
      <x:c r="P57" t="str">
        <x:f>IF(AND($I57="rec-sfm",$D57&lt;&gt;""),$D57,"")</x:f>
      </x:c>
      <x:c r="Q57" t="str">
        <x:f>IF(AND($I57="rec-rnd",$D57&lt;&gt;""),$B57,"")</x:f>
      </x:c>
      <x:c r="R57" t="str">
        <x:f>IF(AND($I57="rec-rnd",$D57&lt;&gt;""),$D57,"")</x:f>
      </x:c>
    </x:row>
    <x:row r="58">
      <x:c r="A58" t="str">
        <x:f>'Corr'!C19&amp;"-"&amp;'Corr'!D19&amp;"-"&amp;'Corr'!E19&amp;"-"&amp;'Corr'!F19</x:f>
        <x:v>atc-rnd-v08-p50</x:v>
      </x:c>
      <x:c r="B58" t="n">
        <x:f>'Corr'!B19</x:f>
        <x:v>0.826457196318535</x:v>
      </x:c>
      <x:c r="C58" t="n">
        <x:f>'MAE'!B19</x:f>
        <x:v>0.518641710281372</x:v>
      </x:c>
      <x:c r="D58" t="n">
        <x:f>IF(C58&lt;=$B$3,C58,"")</x:f>
        <x:v>0.518641710281372</x:v>
      </x:c>
      <x:c r="E58" t="str">
        <x:f>'Corr'!C19</x:f>
        <x:v>atc</x:v>
      </x:c>
      <x:c r="F58" t="str">
        <x:f>'Corr'!D19</x:f>
        <x:v>rnd</x:v>
      </x:c>
      <x:c r="G58" t="str">
        <x:f>'Corr'!E19</x:f>
        <x:v>v08</x:v>
      </x:c>
      <x:c r="H58" t="str">
        <x:f>'Corr'!F19</x:f>
        <x:v>p50</x:v>
      </x:c>
      <x:c r="I58" t="str">
        <x:f>E58&amp;"-"&amp;F58</x:f>
        <x:v>atc-rnd</x:v>
      </x:c>
      <x:c r="K58" t="str">
        <x:f>IF(AND($I58="atc-sfm",$D58&lt;&gt;""),$B58,"")</x:f>
      </x:c>
      <x:c r="L58" t="str">
        <x:f>IF(AND($I58="atc-sfm",$D58&lt;&gt;""),$D58,"")</x:f>
      </x:c>
      <x:c r="M58" t="n">
        <x:f>IF(AND($I58="atc-rnd",$D58&lt;&gt;""),$B58,"")</x:f>
        <x:v>0.826457196318535</x:v>
      </x:c>
      <x:c r="N58" t="n">
        <x:f>IF(AND($I58="atc-rnd",$D58&lt;&gt;""),$D58,"")</x:f>
        <x:v>0.518641710281372</x:v>
      </x:c>
      <x:c r="O58" t="str">
        <x:f>IF(AND($I58="rec-sfm",$D58&lt;&gt;""),$B58,"")</x:f>
      </x:c>
      <x:c r="P58" t="str">
        <x:f>IF(AND($I58="rec-sfm",$D58&lt;&gt;""),$D58,"")</x:f>
      </x:c>
      <x:c r="Q58" t="str">
        <x:f>IF(AND($I58="rec-rnd",$D58&lt;&gt;""),$B58,"")</x:f>
      </x:c>
      <x:c r="R58" t="str">
        <x:f>IF(AND($I58="rec-rnd",$D58&lt;&gt;""),$D58,"")</x:f>
      </x:c>
    </x:row>
    <x:row r="59">
      <x:c r="A59" t="str">
        <x:f>'Corr'!C20&amp;"-"&amp;'Corr'!D20&amp;"-"&amp;'Corr'!E20&amp;"-"&amp;'Corr'!F20</x:f>
        <x:v>rec-rnd-v08-p50</x:v>
      </x:c>
      <x:c r="B59" t="n">
        <x:f>'Corr'!B20</x:f>
        <x:v>0.655774267196967</x:v>
      </x:c>
      <x:c r="C59" t="n">
        <x:f>'MAE'!B20</x:f>
        <x:v>0.449549555778503</x:v>
      </x:c>
      <x:c r="D59" t="n">
        <x:f>IF(C59&lt;=$B$3,C59,"")</x:f>
        <x:v>0.449549555778503</x:v>
      </x:c>
      <x:c r="E59" t="str">
        <x:f>'Corr'!C20</x:f>
        <x:v>rec</x:v>
      </x:c>
      <x:c r="F59" t="str">
        <x:f>'Corr'!D20</x:f>
        <x:v>rnd</x:v>
      </x:c>
      <x:c r="G59" t="str">
        <x:f>'Corr'!E20</x:f>
        <x:v>v08</x:v>
      </x:c>
      <x:c r="H59" t="str">
        <x:f>'Corr'!F20</x:f>
        <x:v>p50</x:v>
      </x:c>
      <x:c r="I59" t="str">
        <x:f>E59&amp;"-"&amp;F59</x:f>
        <x:v>rec-rnd</x:v>
      </x:c>
      <x:c r="K59" t="str">
        <x:f>IF(AND($I59="atc-sfm",$D59&lt;&gt;""),$B59,"")</x:f>
      </x:c>
      <x:c r="L59" t="str">
        <x:f>IF(AND($I59="atc-sfm",$D59&lt;&gt;""),$D59,"")</x:f>
      </x:c>
      <x:c r="M59" t="str">
        <x:f>IF(AND($I59="atc-rnd",$D59&lt;&gt;""),$B59,"")</x:f>
      </x:c>
      <x:c r="N59" t="str">
        <x:f>IF(AND($I59="atc-rnd",$D59&lt;&gt;""),$D59,"")</x:f>
      </x:c>
      <x:c r="O59" t="str">
        <x:f>IF(AND($I59="rec-sfm",$D59&lt;&gt;""),$B59,"")</x:f>
      </x:c>
      <x:c r="P59" t="str">
        <x:f>IF(AND($I59="rec-sfm",$D59&lt;&gt;""),$D59,"")</x:f>
      </x:c>
      <x:c r="Q59" t="n">
        <x:f>IF(AND($I59="rec-rnd",$D59&lt;&gt;""),$B59,"")</x:f>
        <x:v>0.655774267196967</x:v>
      </x:c>
      <x:c r="R59" t="n">
        <x:f>IF(AND($I59="rec-rnd",$D59&lt;&gt;""),$D59,"")</x:f>
        <x:v>0.449549555778503</x:v>
      </x:c>
    </x:row>
    <x:row r="60">
      <x:c r="A60" t="str">
        <x:f>'Corr'!C21&amp;"-"&amp;'Corr'!D21&amp;"-"&amp;'Corr'!E21&amp;"-"&amp;'Corr'!F21</x:f>
        <x:v>rec-sfm-v08-p50</x:v>
      </x:c>
      <x:c r="B60" t="n">
        <x:f>'Corr'!B21</x:f>
        <x:v>0.852106462296345</x:v>
      </x:c>
      <x:c r="C60" t="n">
        <x:f>'MAE'!B21</x:f>
        <x:v>0.55138885974884</x:v>
      </x:c>
      <x:c r="D60" t="n">
        <x:f>IF(C60&lt;=$B$3,C60,"")</x:f>
        <x:v>0.55138885974884</x:v>
      </x:c>
      <x:c r="E60" t="str">
        <x:f>'Corr'!C21</x:f>
        <x:v>rec</x:v>
      </x:c>
      <x:c r="F60" t="str">
        <x:f>'Corr'!D21</x:f>
        <x:v>sfm</x:v>
      </x:c>
      <x:c r="G60" t="str">
        <x:f>'Corr'!E21</x:f>
        <x:v>v08</x:v>
      </x:c>
      <x:c r="H60" t="str">
        <x:f>'Corr'!F21</x:f>
        <x:v>p50</x:v>
      </x:c>
      <x:c r="I60" t="str">
        <x:f>E60&amp;"-"&amp;F60</x:f>
        <x:v>rec-sfm</x:v>
      </x:c>
      <x:c r="K60" t="str">
        <x:f>IF(AND($I60="atc-sfm",$D60&lt;&gt;""),$B60,"")</x:f>
      </x:c>
      <x:c r="L60" t="str">
        <x:f>IF(AND($I60="atc-sfm",$D60&lt;&gt;""),$D60,"")</x:f>
      </x:c>
      <x:c r="M60" t="str">
        <x:f>IF(AND($I60="atc-rnd",$D60&lt;&gt;""),$B60,"")</x:f>
      </x:c>
      <x:c r="N60" t="str">
        <x:f>IF(AND($I60="atc-rnd",$D60&lt;&gt;""),$D60,"")</x:f>
      </x:c>
      <x:c r="O60" t="n">
        <x:f>IF(AND($I60="rec-sfm",$D60&lt;&gt;""),$B60,"")</x:f>
        <x:v>0.852106462296345</x:v>
      </x:c>
      <x:c r="P60" t="n">
        <x:f>IF(AND($I60="rec-sfm",$D60&lt;&gt;""),$D60,"")</x:f>
        <x:v>0.55138885974884</x:v>
      </x:c>
      <x:c r="Q60" t="str">
        <x:f>IF(AND($I60="rec-rnd",$D60&lt;&gt;""),$B60,"")</x:f>
      </x:c>
      <x:c r="R60" t="str">
        <x:f>IF(AND($I60="rec-rnd",$D60&lt;&gt;""),$D60,"")</x:f>
      </x:c>
    </x:row>
    <x:row r="61">
      <x:c r="A61" t="str">
        <x:f>'Corr'!C22&amp;"-"&amp;'Corr'!D22&amp;"-"&amp;'Corr'!E22&amp;"-"&amp;'Corr'!F22</x:f>
        <x:v>atc-sfm-v08-p50</x:v>
      </x:c>
      <x:c r="B61" t="n">
        <x:f>'Corr'!B22</x:f>
        <x:v>0.605331083572977</x:v>
      </x:c>
      <x:c r="C61" t="n">
        <x:f>'MAE'!B22</x:f>
        <x:v>0.440713793039321</x:v>
      </x:c>
      <x:c r="D61" t="n">
        <x:f>IF(C61&lt;=$B$3,C61,"")</x:f>
        <x:v>0.440713793039321</x:v>
      </x:c>
      <x:c r="E61" t="str">
        <x:f>'Corr'!C22</x:f>
        <x:v>atc</x:v>
      </x:c>
      <x:c r="F61" t="str">
        <x:f>'Corr'!D22</x:f>
        <x:v>sfm</x:v>
      </x:c>
      <x:c r="G61" t="str">
        <x:f>'Corr'!E22</x:f>
        <x:v>v08</x:v>
      </x:c>
      <x:c r="H61" t="str">
        <x:f>'Corr'!F22</x:f>
        <x:v>p50</x:v>
      </x:c>
      <x:c r="I61" t="str">
        <x:f>E61&amp;"-"&amp;F61</x:f>
        <x:v>atc-sfm</x:v>
      </x:c>
      <x:c r="K61" t="n">
        <x:f>IF(AND($I61="atc-sfm",$D61&lt;&gt;""),$B61,"")</x:f>
        <x:v>0.605331083572977</x:v>
      </x:c>
      <x:c r="L61" t="n">
        <x:f>IF(AND($I61="atc-sfm",$D61&lt;&gt;""),$D61,"")</x:f>
        <x:v>0.440713793039321</x:v>
      </x:c>
      <x:c r="M61" t="str">
        <x:f>IF(AND($I61="atc-rnd",$D61&lt;&gt;""),$B61,"")</x:f>
      </x:c>
      <x:c r="N61" t="str">
        <x:f>IF(AND($I61="atc-rnd",$D61&lt;&gt;""),$D61,"")</x:f>
      </x:c>
      <x:c r="O61" t="str">
        <x:f>IF(AND($I61="rec-sfm",$D61&lt;&gt;""),$B61,"")</x:f>
      </x:c>
      <x:c r="P61" t="str">
        <x:f>IF(AND($I61="rec-sfm",$D61&lt;&gt;""),$D61,"")</x:f>
      </x:c>
      <x:c r="Q61" t="str">
        <x:f>IF(AND($I61="rec-rnd",$D61&lt;&gt;""),$B61,"")</x:f>
      </x:c>
      <x:c r="R61" t="str">
        <x:f>IF(AND($I61="rec-rnd",$D61&lt;&gt;""),$D61,"")</x:f>
      </x:c>
    </x:row>
    <x:row r="62">
      <x:c r="A62" t="str">
        <x:f>'Corr'!C23&amp;"-"&amp;'Corr'!D23&amp;"-"&amp;'Corr'!E23&amp;"-"&amp;'Corr'!F23</x:f>
        <x:v>atc-sfm-v18-p500</x:v>
      </x:c>
      <x:c r="B62" t="n">
        <x:f>'Corr'!B23</x:f>
        <x:v>0.851830986624238</x:v>
      </x:c>
      <x:c r="C62" t="n">
        <x:f>'MAE'!B23</x:f>
        <x:v>0.277180194854736</x:v>
      </x:c>
      <x:c r="D62" t="n">
        <x:f>IF(C62&lt;=$B$3,C62,"")</x:f>
        <x:v>0.277180194854736</x:v>
      </x:c>
      <x:c r="E62" t="str">
        <x:f>'Corr'!C23</x:f>
        <x:v>atc</x:v>
      </x:c>
      <x:c r="F62" t="str">
        <x:f>'Corr'!D23</x:f>
        <x:v>sfm</x:v>
      </x:c>
      <x:c r="G62" t="str">
        <x:f>'Corr'!E23</x:f>
        <x:v>v18</x:v>
      </x:c>
      <x:c r="H62" t="str">
        <x:f>'Corr'!F23</x:f>
        <x:v>p500</x:v>
      </x:c>
      <x:c r="I62" t="str">
        <x:f>E62&amp;"-"&amp;F62</x:f>
        <x:v>atc-sfm</x:v>
      </x:c>
      <x:c r="K62" t="n">
        <x:f>IF(AND($I62="atc-sfm",$D62&lt;&gt;""),$B62,"")</x:f>
        <x:v>0.851830986624238</x:v>
      </x:c>
      <x:c r="L62" t="n">
        <x:f>IF(AND($I62="atc-sfm",$D62&lt;&gt;""),$D62,"")</x:f>
        <x:v>0.277180194854736</x:v>
      </x:c>
      <x:c r="M62" t="str">
        <x:f>IF(AND($I62="atc-rnd",$D62&lt;&gt;""),$B62,"")</x:f>
      </x:c>
      <x:c r="N62" t="str">
        <x:f>IF(AND($I62="atc-rnd",$D62&lt;&gt;""),$D62,"")</x:f>
      </x:c>
      <x:c r="O62" t="str">
        <x:f>IF(AND($I62="rec-sfm",$D62&lt;&gt;""),$B62,"")</x:f>
      </x:c>
      <x:c r="P62" t="str">
        <x:f>IF(AND($I62="rec-sfm",$D62&lt;&gt;""),$D62,"")</x:f>
      </x:c>
      <x:c r="Q62" t="str">
        <x:f>IF(AND($I62="rec-rnd",$D62&lt;&gt;""),$B62,"")</x:f>
      </x:c>
      <x:c r="R62" t="str">
        <x:f>IF(AND($I62="rec-rnd",$D62&lt;&gt;""),$D62,"")</x:f>
      </x:c>
    </x:row>
    <x:row r="63">
      <x:c r="A63" t="str">
        <x:f>'Corr'!C24&amp;"-"&amp;'Corr'!D24&amp;"-"&amp;'Corr'!E24&amp;"-"&amp;'Corr'!F24</x:f>
        <x:v>rec-rnd-v13-p1500</x:v>
      </x:c>
      <x:c r="B63" t="n">
        <x:f>'Corr'!B24</x:f>
        <x:v>0.889560329218691</x:v>
      </x:c>
      <x:c r="C63" t="n">
        <x:f>'MAE'!B24</x:f>
        <x:v>0.383898377418518</x:v>
      </x:c>
      <x:c r="D63" t="n">
        <x:f>IF(C63&lt;=$B$3,C63,"")</x:f>
        <x:v>0.383898377418518</x:v>
      </x:c>
      <x:c r="E63" t="str">
        <x:f>'Corr'!C24</x:f>
        <x:v>rec</x:v>
      </x:c>
      <x:c r="F63" t="str">
        <x:f>'Corr'!D24</x:f>
        <x:v>rnd</x:v>
      </x:c>
      <x:c r="G63" t="str">
        <x:f>'Corr'!E24</x:f>
        <x:v>v13</x:v>
      </x:c>
      <x:c r="H63" t="str">
        <x:f>'Corr'!F24</x:f>
        <x:v>p1500</x:v>
      </x:c>
      <x:c r="I63" t="str">
        <x:f>E63&amp;"-"&amp;F63</x:f>
        <x:v>rec-rnd</x:v>
      </x:c>
      <x:c r="K63" t="str">
        <x:f>IF(AND($I63="atc-sfm",$D63&lt;&gt;""),$B63,"")</x:f>
      </x:c>
      <x:c r="L63" t="str">
        <x:f>IF(AND($I63="atc-sfm",$D63&lt;&gt;""),$D63,"")</x:f>
      </x:c>
      <x:c r="M63" t="str">
        <x:f>IF(AND($I63="atc-rnd",$D63&lt;&gt;""),$B63,"")</x:f>
      </x:c>
      <x:c r="N63" t="str">
        <x:f>IF(AND($I63="atc-rnd",$D63&lt;&gt;""),$D63,"")</x:f>
      </x:c>
      <x:c r="O63" t="str">
        <x:f>IF(AND($I63="rec-sfm",$D63&lt;&gt;""),$B63,"")</x:f>
      </x:c>
      <x:c r="P63" t="str">
        <x:f>IF(AND($I63="rec-sfm",$D63&lt;&gt;""),$D63,"")</x:f>
      </x:c>
      <x:c r="Q63" t="n">
        <x:f>IF(AND($I63="rec-rnd",$D63&lt;&gt;""),$B63,"")</x:f>
        <x:v>0.889560329218691</x:v>
      </x:c>
      <x:c r="R63" t="n">
        <x:f>IF(AND($I63="rec-rnd",$D63&lt;&gt;""),$D63,"")</x:f>
        <x:v>0.383898377418518</x:v>
      </x:c>
    </x:row>
    <x:row r="64">
      <x:c r="A64" t="str">
        <x:f>'Corr'!C25&amp;"-"&amp;'Corr'!D25&amp;"-"&amp;'Corr'!E25&amp;"-"&amp;'Corr'!F25</x:f>
        <x:v>rec-rnd-v13-p500</x:v>
      </x:c>
      <x:c r="B64" t="n">
        <x:f>'Corr'!B25</x:f>
        <x:v>0.934573734433311</x:v>
      </x:c>
      <x:c r="C64" t="n">
        <x:f>'MAE'!B25</x:f>
        <x:v>0.255240887403488</x:v>
      </x:c>
      <x:c r="D64" t="n">
        <x:f>IF(C64&lt;=$B$3,C64,"")</x:f>
        <x:v>0.255240887403488</x:v>
      </x:c>
      <x:c r="E64" t="str">
        <x:f>'Corr'!C25</x:f>
        <x:v>rec</x:v>
      </x:c>
      <x:c r="F64" t="str">
        <x:f>'Corr'!D25</x:f>
        <x:v>rnd</x:v>
      </x:c>
      <x:c r="G64" t="str">
        <x:f>'Corr'!E25</x:f>
        <x:v>v13</x:v>
      </x:c>
      <x:c r="H64" t="str">
        <x:f>'Corr'!F25</x:f>
        <x:v>p500</x:v>
      </x:c>
      <x:c r="I64" t="str">
        <x:f>E64&amp;"-"&amp;F64</x:f>
        <x:v>rec-rnd</x:v>
      </x:c>
      <x:c r="K64" t="str">
        <x:f>IF(AND($I64="atc-sfm",$D64&lt;&gt;""),$B64,"")</x:f>
      </x:c>
      <x:c r="L64" t="str">
        <x:f>IF(AND($I64="atc-sfm",$D64&lt;&gt;""),$D64,"")</x:f>
      </x:c>
      <x:c r="M64" t="str">
        <x:f>IF(AND($I64="atc-rnd",$D64&lt;&gt;""),$B64,"")</x:f>
      </x:c>
      <x:c r="N64" t="str">
        <x:f>IF(AND($I64="atc-rnd",$D64&lt;&gt;""),$D64,"")</x:f>
      </x:c>
      <x:c r="O64" t="str">
        <x:f>IF(AND($I64="rec-sfm",$D64&lt;&gt;""),$B64,"")</x:f>
      </x:c>
      <x:c r="P64" t="str">
        <x:f>IF(AND($I64="rec-sfm",$D64&lt;&gt;""),$D64,"")</x:f>
      </x:c>
      <x:c r="Q64" t="n">
        <x:f>IF(AND($I64="rec-rnd",$D64&lt;&gt;""),$B64,"")</x:f>
        <x:v>0.934573734433311</x:v>
      </x:c>
      <x:c r="R64" t="n">
        <x:f>IF(AND($I64="rec-rnd",$D64&lt;&gt;""),$D64,"")</x:f>
        <x:v>0.255240887403488</x:v>
      </x:c>
    </x:row>
    <x:row r="65">
      <x:c r="A65" t="str">
        <x:f>'Corr'!C26&amp;"-"&amp;'Corr'!D26&amp;"-"&amp;'Corr'!E26&amp;"-"&amp;'Corr'!F26</x:f>
        <x:v>atc-rnd-v13-p1000</x:v>
      </x:c>
      <x:c r="B65" t="n">
        <x:f>'Corr'!B26</x:f>
        <x:v>0.921255599416874</x:v>
      </x:c>
      <x:c r="C65" t="n">
        <x:f>'MAE'!B26</x:f>
        <x:v>0.24843356013298</x:v>
      </x:c>
      <x:c r="D65" t="n">
        <x:f>IF(C65&lt;=$B$3,C65,"")</x:f>
        <x:v>0.24843356013298</x:v>
      </x:c>
      <x:c r="E65" t="str">
        <x:f>'Corr'!C26</x:f>
        <x:v>atc</x:v>
      </x:c>
      <x:c r="F65" t="str">
        <x:f>'Corr'!D26</x:f>
        <x:v>rnd</x:v>
      </x:c>
      <x:c r="G65" t="str">
        <x:f>'Corr'!E26</x:f>
        <x:v>v13</x:v>
      </x:c>
      <x:c r="H65" t="str">
        <x:f>'Corr'!F26</x:f>
        <x:v>p1000</x:v>
      </x:c>
      <x:c r="I65" t="str">
        <x:f>E65&amp;"-"&amp;F65</x:f>
        <x:v>atc-rnd</x:v>
      </x:c>
      <x:c r="K65" t="str">
        <x:f>IF(AND($I65="atc-sfm",$D65&lt;&gt;""),$B65,"")</x:f>
      </x:c>
      <x:c r="L65" t="str">
        <x:f>IF(AND($I65="atc-sfm",$D65&lt;&gt;""),$D65,"")</x:f>
      </x:c>
      <x:c r="M65" t="n">
        <x:f>IF(AND($I65="atc-rnd",$D65&lt;&gt;""),$B65,"")</x:f>
        <x:v>0.921255599416874</x:v>
      </x:c>
      <x:c r="N65" t="n">
        <x:f>IF(AND($I65="atc-rnd",$D65&lt;&gt;""),$D65,"")</x:f>
        <x:v>0.24843356013298</x:v>
      </x:c>
      <x:c r="O65" t="str">
        <x:f>IF(AND($I65="rec-sfm",$D65&lt;&gt;""),$B65,"")</x:f>
      </x:c>
      <x:c r="P65" t="str">
        <x:f>IF(AND($I65="rec-sfm",$D65&lt;&gt;""),$D65,"")</x:f>
      </x:c>
      <x:c r="Q65" t="str">
        <x:f>IF(AND($I65="rec-rnd",$D65&lt;&gt;""),$B65,"")</x:f>
      </x:c>
      <x:c r="R65" t="str">
        <x:f>IF(AND($I65="rec-rnd",$D65&lt;&gt;""),$D65,"")</x:f>
      </x:c>
    </x:row>
    <x:row r="66">
      <x:c r="A66" t="str">
        <x:f>'Corr'!C27&amp;"-"&amp;'Corr'!D27&amp;"-"&amp;'Corr'!E27&amp;"-"&amp;'Corr'!F27</x:f>
        <x:v>rec-sfm-v13-p1500</x:v>
      </x:c>
      <x:c r="B66" t="n">
        <x:f>'Corr'!B27</x:f>
        <x:v>0.890751076699739</x:v>
      </x:c>
      <x:c r="C66" t="n">
        <x:f>'MAE'!B27</x:f>
        <x:v>0.381383836269378</x:v>
      </x:c>
      <x:c r="D66" t="n">
        <x:f>IF(C66&lt;=$B$3,C66,"")</x:f>
        <x:v>0.381383836269378</x:v>
      </x:c>
      <x:c r="E66" t="str">
        <x:f>'Corr'!C27</x:f>
        <x:v>rec</x:v>
      </x:c>
      <x:c r="F66" t="str">
        <x:f>'Corr'!D27</x:f>
        <x:v>sfm</x:v>
      </x:c>
      <x:c r="G66" t="str">
        <x:f>'Corr'!E27</x:f>
        <x:v>v13</x:v>
      </x:c>
      <x:c r="H66" t="str">
        <x:f>'Corr'!F27</x:f>
        <x:v>p1500</x:v>
      </x:c>
      <x:c r="I66" t="str">
        <x:f>E66&amp;"-"&amp;F66</x:f>
        <x:v>rec-sfm</x:v>
      </x:c>
      <x:c r="K66" t="str">
        <x:f>IF(AND($I66="atc-sfm",$D66&lt;&gt;""),$B66,"")</x:f>
      </x:c>
      <x:c r="L66" t="str">
        <x:f>IF(AND($I66="atc-sfm",$D66&lt;&gt;""),$D66,"")</x:f>
      </x:c>
      <x:c r="M66" t="str">
        <x:f>IF(AND($I66="atc-rnd",$D66&lt;&gt;""),$B66,"")</x:f>
      </x:c>
      <x:c r="N66" t="str">
        <x:f>IF(AND($I66="atc-rnd",$D66&lt;&gt;""),$D66,"")</x:f>
      </x:c>
      <x:c r="O66" t="n">
        <x:f>IF(AND($I66="rec-sfm",$D66&lt;&gt;""),$B66,"")</x:f>
        <x:v>0.890751076699739</x:v>
      </x:c>
      <x:c r="P66" t="n">
        <x:f>IF(AND($I66="rec-sfm",$D66&lt;&gt;""),$D66,"")</x:f>
        <x:v>0.381383836269378</x:v>
      </x:c>
      <x:c r="Q66" t="str">
        <x:f>IF(AND($I66="rec-rnd",$D66&lt;&gt;""),$B66,"")</x:f>
      </x:c>
      <x:c r="R66" t="str">
        <x:f>IF(AND($I66="rec-rnd",$D66&lt;&gt;""),$D66,"")</x:f>
      </x:c>
    </x:row>
    <x:row r="67">
      <x:c r="A67" t="str">
        <x:f>'Corr'!C28&amp;"-"&amp;'Corr'!D28&amp;"-"&amp;'Corr'!E28&amp;"-"&amp;'Corr'!F28</x:f>
        <x:v>rec-sfm-v18-p100</x:v>
      </x:c>
      <x:c r="B67" t="n">
        <x:f>'Corr'!B28</x:f>
        <x:v>0.856268922688989</x:v>
      </x:c>
      <x:c r="C67" t="n">
        <x:f>'MAE'!B28</x:f>
        <x:v>0.497198700904846</x:v>
      </x:c>
      <x:c r="D67" t="n">
        <x:f>IF(C67&lt;=$B$3,C67,"")</x:f>
        <x:v>0.497198700904846</x:v>
      </x:c>
      <x:c r="E67" t="str">
        <x:f>'Corr'!C28</x:f>
        <x:v>rec</x:v>
      </x:c>
      <x:c r="F67" t="str">
        <x:f>'Corr'!D28</x:f>
        <x:v>sfm</x:v>
      </x:c>
      <x:c r="G67" t="str">
        <x:f>'Corr'!E28</x:f>
        <x:v>v18</x:v>
      </x:c>
      <x:c r="H67" t="str">
        <x:f>'Corr'!F28</x:f>
        <x:v>p100</x:v>
      </x:c>
      <x:c r="I67" t="str">
        <x:f>E67&amp;"-"&amp;F67</x:f>
        <x:v>rec-sfm</x:v>
      </x:c>
      <x:c r="K67" t="str">
        <x:f>IF(AND($I67="atc-sfm",$D67&lt;&gt;""),$B67,"")</x:f>
      </x:c>
      <x:c r="L67" t="str">
        <x:f>IF(AND($I67="atc-sfm",$D67&lt;&gt;""),$D67,"")</x:f>
      </x:c>
      <x:c r="M67" t="str">
        <x:f>IF(AND($I67="atc-rnd",$D67&lt;&gt;""),$B67,"")</x:f>
      </x:c>
      <x:c r="N67" t="str">
        <x:f>IF(AND($I67="atc-rnd",$D67&lt;&gt;""),$D67,"")</x:f>
      </x:c>
      <x:c r="O67" t="n">
        <x:f>IF(AND($I67="rec-sfm",$D67&lt;&gt;""),$B67,"")</x:f>
        <x:v>0.856268922688989</x:v>
      </x:c>
      <x:c r="P67" t="n">
        <x:f>IF(AND($I67="rec-sfm",$D67&lt;&gt;""),$D67,"")</x:f>
        <x:v>0.497198700904846</x:v>
      </x:c>
      <x:c r="Q67" t="str">
        <x:f>IF(AND($I67="rec-rnd",$D67&lt;&gt;""),$B67,"")</x:f>
      </x:c>
      <x:c r="R67" t="str">
        <x:f>IF(AND($I67="rec-rnd",$D67&lt;&gt;""),$D67,"")</x:f>
      </x:c>
    </x:row>
    <x:row r="68">
      <x:c r="A68" t="str">
        <x:f>'Corr'!C29&amp;"-"&amp;'Corr'!D29&amp;"-"&amp;'Corr'!E29&amp;"-"&amp;'Corr'!F29</x:f>
        <x:v>atc-sfm-v13-p1000</x:v>
      </x:c>
      <x:c r="B68" t="n">
        <x:f>'Corr'!B29</x:f>
        <x:v>0.932339162867682</x:v>
      </x:c>
      <x:c r="C68" t="n">
        <x:f>'MAE'!B29</x:f>
        <x:v>0.232568114995956</x:v>
      </x:c>
      <x:c r="D68" t="n">
        <x:f>IF(C68&lt;=$B$3,C68,"")</x:f>
        <x:v>0.232568114995956</x:v>
      </x:c>
      <x:c r="E68" t="str">
        <x:f>'Corr'!C29</x:f>
        <x:v>atc</x:v>
      </x:c>
      <x:c r="F68" t="str">
        <x:f>'Corr'!D29</x:f>
        <x:v>sfm</x:v>
      </x:c>
      <x:c r="G68" t="str">
        <x:f>'Corr'!E29</x:f>
        <x:v>v13</x:v>
      </x:c>
      <x:c r="H68" t="str">
        <x:f>'Corr'!F29</x:f>
        <x:v>p1000</x:v>
      </x:c>
      <x:c r="I68" t="str">
        <x:f>E68&amp;"-"&amp;F68</x:f>
        <x:v>atc-sfm</x:v>
      </x:c>
      <x:c r="K68" t="n">
        <x:f>IF(AND($I68="atc-sfm",$D68&lt;&gt;""),$B68,"")</x:f>
        <x:v>0.932339162867682</x:v>
      </x:c>
      <x:c r="L68" t="n">
        <x:f>IF(AND($I68="atc-sfm",$D68&lt;&gt;""),$D68,"")</x:f>
        <x:v>0.232568114995956</x:v>
      </x:c>
      <x:c r="M68" t="str">
        <x:f>IF(AND($I68="atc-rnd",$D68&lt;&gt;""),$B68,"")</x:f>
      </x:c>
      <x:c r="N68" t="str">
        <x:f>IF(AND($I68="atc-rnd",$D68&lt;&gt;""),$D68,"")</x:f>
      </x:c>
      <x:c r="O68" t="str">
        <x:f>IF(AND($I68="rec-sfm",$D68&lt;&gt;""),$B68,"")</x:f>
      </x:c>
      <x:c r="P68" t="str">
        <x:f>IF(AND($I68="rec-sfm",$D68&lt;&gt;""),$D68,"")</x:f>
      </x:c>
      <x:c r="Q68" t="str">
        <x:f>IF(AND($I68="rec-rnd",$D68&lt;&gt;""),$B68,"")</x:f>
      </x:c>
      <x:c r="R68" t="str">
        <x:f>IF(AND($I68="rec-rnd",$D68&lt;&gt;""),$D68,"")</x:f>
      </x:c>
    </x:row>
    <x:row r="69">
      <x:c r="A69" t="str">
        <x:f>'Corr'!C30&amp;"-"&amp;'Corr'!D30&amp;"-"&amp;'Corr'!E30&amp;"-"&amp;'Corr'!F30</x:f>
        <x:v>atc-sfm-v13-p250</x:v>
      </x:c>
      <x:c r="B69" t="n">
        <x:f>'Corr'!B30</x:f>
        <x:v>0.847786952386008</x:v>
      </x:c>
      <x:c r="C69" t="n">
        <x:f>'MAE'!B30</x:f>
        <x:v>0.292191892862319</x:v>
      </x:c>
      <x:c r="D69" t="n">
        <x:f>IF(C69&lt;=$B$3,C69,"")</x:f>
        <x:v>0.292191892862319</x:v>
      </x:c>
      <x:c r="E69" t="str">
        <x:f>'Corr'!C30</x:f>
        <x:v>atc</x:v>
      </x:c>
      <x:c r="F69" t="str">
        <x:f>'Corr'!D30</x:f>
        <x:v>sfm</x:v>
      </x:c>
      <x:c r="G69" t="str">
        <x:f>'Corr'!E30</x:f>
        <x:v>v13</x:v>
      </x:c>
      <x:c r="H69" t="str">
        <x:f>'Corr'!F30</x:f>
        <x:v>p250</x:v>
      </x:c>
      <x:c r="I69" t="str">
        <x:f>E69&amp;"-"&amp;F69</x:f>
        <x:v>atc-sfm</x:v>
      </x:c>
      <x:c r="K69" t="n">
        <x:f>IF(AND($I69="atc-sfm",$D69&lt;&gt;""),$B69,"")</x:f>
        <x:v>0.847786952386008</x:v>
      </x:c>
      <x:c r="L69" t="n">
        <x:f>IF(AND($I69="atc-sfm",$D69&lt;&gt;""),$D69,"")</x:f>
        <x:v>0.292191892862319</x:v>
      </x:c>
      <x:c r="M69" t="str">
        <x:f>IF(AND($I69="atc-rnd",$D69&lt;&gt;""),$B69,"")</x:f>
      </x:c>
      <x:c r="N69" t="str">
        <x:f>IF(AND($I69="atc-rnd",$D69&lt;&gt;""),$D69,"")</x:f>
      </x:c>
      <x:c r="O69" t="str">
        <x:f>IF(AND($I69="rec-sfm",$D69&lt;&gt;""),$B69,"")</x:f>
      </x:c>
      <x:c r="P69" t="str">
        <x:f>IF(AND($I69="rec-sfm",$D69&lt;&gt;""),$D69,"")</x:f>
      </x:c>
      <x:c r="Q69" t="str">
        <x:f>IF(AND($I69="rec-rnd",$D69&lt;&gt;""),$B69,"")</x:f>
      </x:c>
      <x:c r="R69" t="str">
        <x:f>IF(AND($I69="rec-rnd",$D69&lt;&gt;""),$D69,"")</x:f>
      </x:c>
    </x:row>
    <x:row r="70">
      <x:c r="A70" t="str">
        <x:f>'Corr'!C31&amp;"-"&amp;'Corr'!D31&amp;"-"&amp;'Corr'!E31&amp;"-"&amp;'Corr'!F31</x:f>
        <x:v>rec-sfm-v18-p250</x:v>
      </x:c>
      <x:c r="B70" t="n">
        <x:f>'Corr'!B31</x:f>
        <x:v>0.857122413461548</x:v>
      </x:c>
      <x:c r="C70" t="n">
        <x:f>'MAE'!B31</x:f>
        <x:v>0.396077811717987</x:v>
      </x:c>
      <x:c r="D70" t="n">
        <x:f>IF(C70&lt;=$B$3,C70,"")</x:f>
        <x:v>0.396077811717987</x:v>
      </x:c>
      <x:c r="E70" t="str">
        <x:f>'Corr'!C31</x:f>
        <x:v>rec</x:v>
      </x:c>
      <x:c r="F70" t="str">
        <x:f>'Corr'!D31</x:f>
        <x:v>sfm</x:v>
      </x:c>
      <x:c r="G70" t="str">
        <x:f>'Corr'!E31</x:f>
        <x:v>v18</x:v>
      </x:c>
      <x:c r="H70" t="str">
        <x:f>'Corr'!F31</x:f>
        <x:v>p250</x:v>
      </x:c>
      <x:c r="I70" t="str">
        <x:f>E70&amp;"-"&amp;F70</x:f>
        <x:v>rec-sfm</x:v>
      </x:c>
      <x:c r="K70" t="str">
        <x:f>IF(AND($I70="atc-sfm",$D70&lt;&gt;""),$B70,"")</x:f>
      </x:c>
      <x:c r="L70" t="str">
        <x:f>IF(AND($I70="atc-sfm",$D70&lt;&gt;""),$D70,"")</x:f>
      </x:c>
      <x:c r="M70" t="str">
        <x:f>IF(AND($I70="atc-rnd",$D70&lt;&gt;""),$B70,"")</x:f>
      </x:c>
      <x:c r="N70" t="str">
        <x:f>IF(AND($I70="atc-rnd",$D70&lt;&gt;""),$D70,"")</x:f>
      </x:c>
      <x:c r="O70" t="n">
        <x:f>IF(AND($I70="rec-sfm",$D70&lt;&gt;""),$B70,"")</x:f>
        <x:v>0.857122413461548</x:v>
      </x:c>
      <x:c r="P70" t="n">
        <x:f>IF(AND($I70="rec-sfm",$D70&lt;&gt;""),$D70,"")</x:f>
        <x:v>0.396077811717987</x:v>
      </x:c>
      <x:c r="Q70" t="str">
        <x:f>IF(AND($I70="rec-rnd",$D70&lt;&gt;""),$B70,"")</x:f>
      </x:c>
      <x:c r="R70" t="str">
        <x:f>IF(AND($I70="rec-rnd",$D70&lt;&gt;""),$D70,"")</x:f>
      </x:c>
    </x:row>
    <x:row r="71">
      <x:c r="A71" t="str">
        <x:f>'Corr'!C32&amp;"-"&amp;'Corr'!D32&amp;"-"&amp;'Corr'!E32&amp;"-"&amp;'Corr'!F32</x:f>
        <x:v>rec-sfm-v13-p1000</x:v>
      </x:c>
      <x:c r="B71" t="n">
        <x:f>'Corr'!B32</x:f>
        <x:v>0.895066130022496</x:v>
      </x:c>
      <x:c r="C71" t="n">
        <x:f>'MAE'!B32</x:f>
        <x:v>0.32576897740364</x:v>
      </x:c>
      <x:c r="D71" t="n">
        <x:f>IF(C71&lt;=$B$3,C71,"")</x:f>
        <x:v>0.32576897740364</x:v>
      </x:c>
      <x:c r="E71" t="str">
        <x:f>'Corr'!C32</x:f>
        <x:v>rec</x:v>
      </x:c>
      <x:c r="F71" t="str">
        <x:f>'Corr'!D32</x:f>
        <x:v>sfm</x:v>
      </x:c>
      <x:c r="G71" t="str">
        <x:f>'Corr'!E32</x:f>
        <x:v>v13</x:v>
      </x:c>
      <x:c r="H71" t="str">
        <x:f>'Corr'!F32</x:f>
        <x:v>p1000</x:v>
      </x:c>
      <x:c r="I71" t="str">
        <x:f>E71&amp;"-"&amp;F71</x:f>
        <x:v>rec-sfm</x:v>
      </x:c>
      <x:c r="K71" t="str">
        <x:f>IF(AND($I71="atc-sfm",$D71&lt;&gt;""),$B71,"")</x:f>
      </x:c>
      <x:c r="L71" t="str">
        <x:f>IF(AND($I71="atc-sfm",$D71&lt;&gt;""),$D71,"")</x:f>
      </x:c>
      <x:c r="M71" t="str">
        <x:f>IF(AND($I71="atc-rnd",$D71&lt;&gt;""),$B71,"")</x:f>
      </x:c>
      <x:c r="N71" t="str">
        <x:f>IF(AND($I71="atc-rnd",$D71&lt;&gt;""),$D71,"")</x:f>
      </x:c>
      <x:c r="O71" t="n">
        <x:f>IF(AND($I71="rec-sfm",$D71&lt;&gt;""),$B71,"")</x:f>
        <x:v>0.895066130022496</x:v>
      </x:c>
      <x:c r="P71" t="n">
        <x:f>IF(AND($I71="rec-sfm",$D71&lt;&gt;""),$D71,"")</x:f>
        <x:v>0.32576897740364</x:v>
      </x:c>
      <x:c r="Q71" t="str">
        <x:f>IF(AND($I71="rec-rnd",$D71&lt;&gt;""),$B71,"")</x:f>
      </x:c>
      <x:c r="R71" t="str">
        <x:f>IF(AND($I71="rec-rnd",$D71&lt;&gt;""),$D71,"")</x:f>
      </x:c>
    </x:row>
    <x:row r="72">
      <x:c r="A72" t="str">
        <x:f>'Corr'!C33&amp;"-"&amp;'Corr'!D33&amp;"-"&amp;'Corr'!E33&amp;"-"&amp;'Corr'!F33</x:f>
        <x:v>atc-sfm-v13-p100</x:v>
      </x:c>
      <x:c r="B72" t="n">
        <x:f>'Corr'!B33</x:f>
        <x:v>0.6839694657842</x:v>
      </x:c>
      <x:c r="C72" t="n">
        <x:f>'MAE'!B33</x:f>
        <x:v>0.415252029895782</x:v>
      </x:c>
      <x:c r="D72" t="n">
        <x:f>IF(C72&lt;=$B$3,C72,"")</x:f>
        <x:v>0.415252029895782</x:v>
      </x:c>
      <x:c r="E72" t="str">
        <x:f>'Corr'!C33</x:f>
        <x:v>atc</x:v>
      </x:c>
      <x:c r="F72" t="str">
        <x:f>'Corr'!D33</x:f>
        <x:v>sfm</x:v>
      </x:c>
      <x:c r="G72" t="str">
        <x:f>'Corr'!E33</x:f>
        <x:v>v13</x:v>
      </x:c>
      <x:c r="H72" t="str">
        <x:f>'Corr'!F33</x:f>
        <x:v>p100</x:v>
      </x:c>
      <x:c r="I72" t="str">
        <x:f>E72&amp;"-"&amp;F72</x:f>
        <x:v>atc-sfm</x:v>
      </x:c>
      <x:c r="K72" t="n">
        <x:f>IF(AND($I72="atc-sfm",$D72&lt;&gt;""),$B72,"")</x:f>
        <x:v>0.6839694657842</x:v>
      </x:c>
      <x:c r="L72" t="n">
        <x:f>IF(AND($I72="atc-sfm",$D72&lt;&gt;""),$D72,"")</x:f>
        <x:v>0.415252029895782</x:v>
      </x:c>
      <x:c r="M72" t="str">
        <x:f>IF(AND($I72="atc-rnd",$D72&lt;&gt;""),$B72,"")</x:f>
      </x:c>
      <x:c r="N72" t="str">
        <x:f>IF(AND($I72="atc-rnd",$D72&lt;&gt;""),$D72,"")</x:f>
      </x:c>
      <x:c r="O72" t="str">
        <x:f>IF(AND($I72="rec-sfm",$D72&lt;&gt;""),$B72,"")</x:f>
      </x:c>
      <x:c r="P72" t="str">
        <x:f>IF(AND($I72="rec-sfm",$D72&lt;&gt;""),$D72,"")</x:f>
      </x:c>
      <x:c r="Q72" t="str">
        <x:f>IF(AND($I72="rec-rnd",$D72&lt;&gt;""),$B72,"")</x:f>
      </x:c>
      <x:c r="R72" t="str">
        <x:f>IF(AND($I72="rec-rnd",$D72&lt;&gt;""),$D72,"")</x:f>
      </x:c>
    </x:row>
    <x:row r="73">
      <x:c r="A73" t="str">
        <x:f>'Corr'!C34&amp;"-"&amp;'Corr'!D34&amp;"-"&amp;'Corr'!E34&amp;"-"&amp;'Corr'!F34</x:f>
        <x:v>atc-sfm-v13-p1500</x:v>
      </x:c>
      <x:c r="B73" t="n">
        <x:f>'Corr'!B34</x:f>
        <x:v>0.910187173034807</x:v>
      </x:c>
      <x:c r="C73" t="n">
        <x:f>'MAE'!B34</x:f>
        <x:v>0.295567035675048</x:v>
      </x:c>
      <x:c r="D73" t="n">
        <x:f>IF(C73&lt;=$B$3,C73,"")</x:f>
        <x:v>0.295567035675048</x:v>
      </x:c>
      <x:c r="E73" t="str">
        <x:f>'Corr'!C34</x:f>
        <x:v>atc</x:v>
      </x:c>
      <x:c r="F73" t="str">
        <x:f>'Corr'!D34</x:f>
        <x:v>sfm</x:v>
      </x:c>
      <x:c r="G73" t="str">
        <x:f>'Corr'!E34</x:f>
        <x:v>v13</x:v>
      </x:c>
      <x:c r="H73" t="str">
        <x:f>'Corr'!F34</x:f>
        <x:v>p1500</x:v>
      </x:c>
      <x:c r="I73" t="str">
        <x:f>E73&amp;"-"&amp;F73</x:f>
        <x:v>atc-sfm</x:v>
      </x:c>
      <x:c r="K73" t="n">
        <x:f>IF(AND($I73="atc-sfm",$D73&lt;&gt;""),$B73,"")</x:f>
        <x:v>0.910187173034807</x:v>
      </x:c>
      <x:c r="L73" t="n">
        <x:f>IF(AND($I73="atc-sfm",$D73&lt;&gt;""),$D73,"")</x:f>
        <x:v>0.295567035675048</x:v>
      </x:c>
      <x:c r="M73" t="str">
        <x:f>IF(AND($I73="atc-rnd",$D73&lt;&gt;""),$B73,"")</x:f>
      </x:c>
      <x:c r="N73" t="str">
        <x:f>IF(AND($I73="atc-rnd",$D73&lt;&gt;""),$D73,"")</x:f>
      </x:c>
      <x:c r="O73" t="str">
        <x:f>IF(AND($I73="rec-sfm",$D73&lt;&gt;""),$B73,"")</x:f>
      </x:c>
      <x:c r="P73" t="str">
        <x:f>IF(AND($I73="rec-sfm",$D73&lt;&gt;""),$D73,"")</x:f>
      </x:c>
      <x:c r="Q73" t="str">
        <x:f>IF(AND($I73="rec-rnd",$D73&lt;&gt;""),$B73,"")</x:f>
      </x:c>
      <x:c r="R73" t="str">
        <x:f>IF(AND($I73="rec-rnd",$D73&lt;&gt;""),$D73,"")</x:f>
      </x:c>
    </x:row>
    <x:row r="74">
      <x:c r="A74" t="str">
        <x:f>'Corr'!C35&amp;"-"&amp;'Corr'!D35&amp;"-"&amp;'Corr'!E35&amp;"-"&amp;'Corr'!F35</x:f>
        <x:v>atc-rnd-v13-p50</x:v>
      </x:c>
      <x:c r="B74" t="n">
        <x:f>'Corr'!B35</x:f>
        <x:v>0.891067131267761</x:v>
      </x:c>
      <x:c r="C74" t="n">
        <x:f>'MAE'!B35</x:f>
        <x:v>0.287725090980529</x:v>
      </x:c>
      <x:c r="D74" t="n">
        <x:f>IF(C74&lt;=$B$3,C74,"")</x:f>
        <x:v>0.287725090980529</x:v>
      </x:c>
      <x:c r="E74" t="str">
        <x:f>'Corr'!C35</x:f>
        <x:v>atc</x:v>
      </x:c>
      <x:c r="F74" t="str">
        <x:f>'Corr'!D35</x:f>
        <x:v>rnd</x:v>
      </x:c>
      <x:c r="G74" t="str">
        <x:f>'Corr'!E35</x:f>
        <x:v>v13</x:v>
      </x:c>
      <x:c r="H74" t="str">
        <x:f>'Corr'!F35</x:f>
        <x:v>p50</x:v>
      </x:c>
      <x:c r="I74" t="str">
        <x:f>E74&amp;"-"&amp;F74</x:f>
        <x:v>atc-rnd</x:v>
      </x:c>
      <x:c r="K74" t="str">
        <x:f>IF(AND($I74="atc-sfm",$D74&lt;&gt;""),$B74,"")</x:f>
      </x:c>
      <x:c r="L74" t="str">
        <x:f>IF(AND($I74="atc-sfm",$D74&lt;&gt;""),$D74,"")</x:f>
      </x:c>
      <x:c r="M74" t="n">
        <x:f>IF(AND($I74="atc-rnd",$D74&lt;&gt;""),$B74,"")</x:f>
        <x:v>0.891067131267761</x:v>
      </x:c>
      <x:c r="N74" t="n">
        <x:f>IF(AND($I74="atc-rnd",$D74&lt;&gt;""),$D74,"")</x:f>
        <x:v>0.287725090980529</x:v>
      </x:c>
      <x:c r="O74" t="str">
        <x:f>IF(AND($I74="rec-sfm",$D74&lt;&gt;""),$B74,"")</x:f>
      </x:c>
      <x:c r="P74" t="str">
        <x:f>IF(AND($I74="rec-sfm",$D74&lt;&gt;""),$D74,"")</x:f>
      </x:c>
      <x:c r="Q74" t="str">
        <x:f>IF(AND($I74="rec-rnd",$D74&lt;&gt;""),$B74,"")</x:f>
      </x:c>
      <x:c r="R74" t="str">
        <x:f>IF(AND($I74="rec-rnd",$D74&lt;&gt;""),$D74,"")</x:f>
      </x:c>
    </x:row>
    <x:row r="75">
      <x:c r="A75" t="str">
        <x:f>'Corr'!C36&amp;"-"&amp;'Corr'!D36&amp;"-"&amp;'Corr'!E36&amp;"-"&amp;'Corr'!F36</x:f>
        <x:v>atc-sfm-v13-p2500</x:v>
      </x:c>
      <x:c r="B75" t="n">
        <x:f>'Corr'!B36</x:f>
        <x:v>0.892569432853414</x:v>
      </x:c>
      <x:c r="C75" t="n">
        <x:f>'MAE'!B36</x:f>
        <x:v>0.337311834096908</x:v>
      </x:c>
      <x:c r="D75" t="n">
        <x:f>IF(C75&lt;=$B$3,C75,"")</x:f>
        <x:v>0.337311834096908</x:v>
      </x:c>
      <x:c r="E75" t="str">
        <x:f>'Corr'!C36</x:f>
        <x:v>atc</x:v>
      </x:c>
      <x:c r="F75" t="str">
        <x:f>'Corr'!D36</x:f>
        <x:v>sfm</x:v>
      </x:c>
      <x:c r="G75" t="str">
        <x:f>'Corr'!E36</x:f>
        <x:v>v13</x:v>
      </x:c>
      <x:c r="H75" t="str">
        <x:f>'Corr'!F36</x:f>
        <x:v>p2500</x:v>
      </x:c>
      <x:c r="I75" t="str">
        <x:f>E75&amp;"-"&amp;F75</x:f>
        <x:v>atc-sfm</x:v>
      </x:c>
      <x:c r="K75" t="n">
        <x:f>IF(AND($I75="atc-sfm",$D75&lt;&gt;""),$B75,"")</x:f>
        <x:v>0.892569432853414</x:v>
      </x:c>
      <x:c r="L75" t="n">
        <x:f>IF(AND($I75="atc-sfm",$D75&lt;&gt;""),$D75,"")</x:f>
        <x:v>0.337311834096908</x:v>
      </x:c>
      <x:c r="M75" t="str">
        <x:f>IF(AND($I75="atc-rnd",$D75&lt;&gt;""),$B75,"")</x:f>
      </x:c>
      <x:c r="N75" t="str">
        <x:f>IF(AND($I75="atc-rnd",$D75&lt;&gt;""),$D75,"")</x:f>
      </x:c>
      <x:c r="O75" t="str">
        <x:f>IF(AND($I75="rec-sfm",$D75&lt;&gt;""),$B75,"")</x:f>
      </x:c>
      <x:c r="P75" t="str">
        <x:f>IF(AND($I75="rec-sfm",$D75&lt;&gt;""),$D75,"")</x:f>
      </x:c>
      <x:c r="Q75" t="str">
        <x:f>IF(AND($I75="rec-rnd",$D75&lt;&gt;""),$B75,"")</x:f>
      </x:c>
      <x:c r="R75" t="str">
        <x:f>IF(AND($I75="rec-rnd",$D75&lt;&gt;""),$D75,"")</x:f>
      </x:c>
    </x:row>
    <x:row r="76">
      <x:c r="A76" t="str">
        <x:f>'Corr'!C37&amp;"-"&amp;'Corr'!D37&amp;"-"&amp;'Corr'!E37&amp;"-"&amp;'Corr'!F37</x:f>
        <x:v>rec-sfm-v13-p2000</x:v>
      </x:c>
      <x:c r="B76" t="n">
        <x:f>'Corr'!B37</x:f>
        <x:v>0.842706478544441</x:v>
      </x:c>
      <x:c r="C76" t="n">
        <x:f>'MAE'!B37</x:f>
        <x:v>0.562744617462158</x:v>
      </x:c>
      <x:c r="D76" t="n">
        <x:f>IF(C76&lt;=$B$3,C76,"")</x:f>
        <x:v>0.562744617462158</x:v>
      </x:c>
      <x:c r="E76" t="str">
        <x:f>'Corr'!C37</x:f>
        <x:v>rec</x:v>
      </x:c>
      <x:c r="F76" t="str">
        <x:f>'Corr'!D37</x:f>
        <x:v>sfm</x:v>
      </x:c>
      <x:c r="G76" t="str">
        <x:f>'Corr'!E37</x:f>
        <x:v>v13</x:v>
      </x:c>
      <x:c r="H76" t="str">
        <x:f>'Corr'!F37</x:f>
        <x:v>p2000</x:v>
      </x:c>
      <x:c r="I76" t="str">
        <x:f>E76&amp;"-"&amp;F76</x:f>
        <x:v>rec-sfm</x:v>
      </x:c>
      <x:c r="K76" t="str">
        <x:f>IF(AND($I76="atc-sfm",$D76&lt;&gt;""),$B76,"")</x:f>
      </x:c>
      <x:c r="L76" t="str">
        <x:f>IF(AND($I76="atc-sfm",$D76&lt;&gt;""),$D76,"")</x:f>
      </x:c>
      <x:c r="M76" t="str">
        <x:f>IF(AND($I76="atc-rnd",$D76&lt;&gt;""),$B76,"")</x:f>
      </x:c>
      <x:c r="N76" t="str">
        <x:f>IF(AND($I76="atc-rnd",$D76&lt;&gt;""),$D76,"")</x:f>
      </x:c>
      <x:c r="O76" t="n">
        <x:f>IF(AND($I76="rec-sfm",$D76&lt;&gt;""),$B76,"")</x:f>
        <x:v>0.842706478544441</x:v>
      </x:c>
      <x:c r="P76" t="n">
        <x:f>IF(AND($I76="rec-sfm",$D76&lt;&gt;""),$D76,"")</x:f>
        <x:v>0.562744617462158</x:v>
      </x:c>
      <x:c r="Q76" t="str">
        <x:f>IF(AND($I76="rec-rnd",$D76&lt;&gt;""),$B76,"")</x:f>
      </x:c>
      <x:c r="R76" t="str">
        <x:f>IF(AND($I76="rec-rnd",$D76&lt;&gt;""),$D76,"")</x:f>
      </x:c>
    </x:row>
    <x:row r="77">
      <x:c r="A77" t="str">
        <x:f>'Corr'!C38&amp;"-"&amp;'Corr'!D38&amp;"-"&amp;'Corr'!E38&amp;"-"&amp;'Corr'!F38</x:f>
        <x:v>atc-sfm-v13-p2000</x:v>
      </x:c>
      <x:c r="B77" t="n">
        <x:f>'Corr'!B38</x:f>
        <x:v>0.899433331850988</x:v>
      </x:c>
      <x:c r="C77" t="n">
        <x:f>'MAE'!B38</x:f>
        <x:v>0.338060915470123</x:v>
      </x:c>
      <x:c r="D77" t="n">
        <x:f>IF(C77&lt;=$B$3,C77,"")</x:f>
        <x:v>0.338060915470123</x:v>
      </x:c>
      <x:c r="E77" t="str">
        <x:f>'Corr'!C38</x:f>
        <x:v>atc</x:v>
      </x:c>
      <x:c r="F77" t="str">
        <x:f>'Corr'!D38</x:f>
        <x:v>sfm</x:v>
      </x:c>
      <x:c r="G77" t="str">
        <x:f>'Corr'!E38</x:f>
        <x:v>v13</x:v>
      </x:c>
      <x:c r="H77" t="str">
        <x:f>'Corr'!F38</x:f>
        <x:v>p2000</x:v>
      </x:c>
      <x:c r="I77" t="str">
        <x:f>E77&amp;"-"&amp;F77</x:f>
        <x:v>atc-sfm</x:v>
      </x:c>
      <x:c r="K77" t="n">
        <x:f>IF(AND($I77="atc-sfm",$D77&lt;&gt;""),$B77,"")</x:f>
        <x:v>0.899433331850988</x:v>
      </x:c>
      <x:c r="L77" t="n">
        <x:f>IF(AND($I77="atc-sfm",$D77&lt;&gt;""),$D77,"")</x:f>
        <x:v>0.338060915470123</x:v>
      </x:c>
      <x:c r="M77" t="str">
        <x:f>IF(AND($I77="atc-rnd",$D77&lt;&gt;""),$B77,"")</x:f>
      </x:c>
      <x:c r="N77" t="str">
        <x:f>IF(AND($I77="atc-rnd",$D77&lt;&gt;""),$D77,"")</x:f>
      </x:c>
      <x:c r="O77" t="str">
        <x:f>IF(AND($I77="rec-sfm",$D77&lt;&gt;""),$B77,"")</x:f>
      </x:c>
      <x:c r="P77" t="str">
        <x:f>IF(AND($I77="rec-sfm",$D77&lt;&gt;""),$D77,"")</x:f>
      </x:c>
      <x:c r="Q77" t="str">
        <x:f>IF(AND($I77="rec-rnd",$D77&lt;&gt;""),$B77,"")</x:f>
      </x:c>
      <x:c r="R77" t="str">
        <x:f>IF(AND($I77="rec-rnd",$D77&lt;&gt;""),$D77,"")</x:f>
      </x:c>
    </x:row>
    <x:row r="78">
      <x:c r="A78" t="str">
        <x:f>'Corr'!C39&amp;"-"&amp;'Corr'!D39&amp;"-"&amp;'Corr'!E39&amp;"-"&amp;'Corr'!F39</x:f>
        <x:v>atc-sfm-v08-p3000</x:v>
      </x:c>
      <x:c r="B78" t="n">
        <x:f>'Corr'!B39</x:f>
        <x:v>0.92453878917134</x:v>
      </x:c>
      <x:c r="C78" t="n">
        <x:f>'MAE'!B39</x:f>
        <x:v>0.234240159392356</x:v>
      </x:c>
      <x:c r="D78" t="n">
        <x:f>IF(C78&lt;=$B$3,C78,"")</x:f>
        <x:v>0.234240159392356</x:v>
      </x:c>
      <x:c r="E78" t="str">
        <x:f>'Corr'!C39</x:f>
        <x:v>atc</x:v>
      </x:c>
      <x:c r="F78" t="str">
        <x:f>'Corr'!D39</x:f>
        <x:v>sfm</x:v>
      </x:c>
      <x:c r="G78" t="str">
        <x:f>'Corr'!E39</x:f>
        <x:v>v08</x:v>
      </x:c>
      <x:c r="H78" t="str">
        <x:f>'Corr'!F39</x:f>
        <x:v>p3000</x:v>
      </x:c>
      <x:c r="I78" t="str">
        <x:f>E78&amp;"-"&amp;F78</x:f>
        <x:v>atc-sfm</x:v>
      </x:c>
      <x:c r="K78" t="n">
        <x:f>IF(AND($I78="atc-sfm",$D78&lt;&gt;""),$B78,"")</x:f>
        <x:v>0.92453878917134</x:v>
      </x:c>
      <x:c r="L78" t="n">
        <x:f>IF(AND($I78="atc-sfm",$D78&lt;&gt;""),$D78,"")</x:f>
        <x:v>0.234240159392356</x:v>
      </x:c>
      <x:c r="M78" t="str">
        <x:f>IF(AND($I78="atc-rnd",$D78&lt;&gt;""),$B78,"")</x:f>
      </x:c>
      <x:c r="N78" t="str">
        <x:f>IF(AND($I78="atc-rnd",$D78&lt;&gt;""),$D78,"")</x:f>
      </x:c>
      <x:c r="O78" t="str">
        <x:f>IF(AND($I78="rec-sfm",$D78&lt;&gt;""),$B78,"")</x:f>
      </x:c>
      <x:c r="P78" t="str">
        <x:f>IF(AND($I78="rec-sfm",$D78&lt;&gt;""),$D78,"")</x:f>
      </x:c>
      <x:c r="Q78" t="str">
        <x:f>IF(AND($I78="rec-rnd",$D78&lt;&gt;""),$B78,"")</x:f>
      </x:c>
      <x:c r="R78" t="str">
        <x:f>IF(AND($I78="rec-rnd",$D78&lt;&gt;""),$D78,"")</x:f>
      </x:c>
    </x:row>
    <x:row r="79">
      <x:c r="A79" t="str">
        <x:f>'Corr'!C40&amp;"-"&amp;'Corr'!D40&amp;"-"&amp;'Corr'!E40&amp;"-"&amp;'Corr'!F40</x:f>
        <x:v>rec-sfm-v18-p500</x:v>
      </x:c>
      <x:c r="B79" t="n">
        <x:f>'Corr'!B40</x:f>
        <x:v>0.914229141558867</x:v>
      </x:c>
      <x:c r="C79" t="n">
        <x:f>'MAE'!B40</x:f>
        <x:v>0.285544335842132</x:v>
      </x:c>
      <x:c r="D79" t="n">
        <x:f>IF(C79&lt;=$B$3,C79,"")</x:f>
        <x:v>0.285544335842132</x:v>
      </x:c>
      <x:c r="E79" t="str">
        <x:f>'Corr'!C40</x:f>
        <x:v>rec</x:v>
      </x:c>
      <x:c r="F79" t="str">
        <x:f>'Corr'!D40</x:f>
        <x:v>sfm</x:v>
      </x:c>
      <x:c r="G79" t="str">
        <x:f>'Corr'!E40</x:f>
        <x:v>v18</x:v>
      </x:c>
      <x:c r="H79" t="str">
        <x:f>'Corr'!F40</x:f>
        <x:v>p500</x:v>
      </x:c>
      <x:c r="I79" t="str">
        <x:f>E79&amp;"-"&amp;F79</x:f>
        <x:v>rec-sfm</x:v>
      </x:c>
      <x:c r="K79" t="str">
        <x:f>IF(AND($I79="atc-sfm",$D79&lt;&gt;""),$B79,"")</x:f>
      </x:c>
      <x:c r="L79" t="str">
        <x:f>IF(AND($I79="atc-sfm",$D79&lt;&gt;""),$D79,"")</x:f>
      </x:c>
      <x:c r="M79" t="str">
        <x:f>IF(AND($I79="atc-rnd",$D79&lt;&gt;""),$B79,"")</x:f>
      </x:c>
      <x:c r="N79" t="str">
        <x:f>IF(AND($I79="atc-rnd",$D79&lt;&gt;""),$D79,"")</x:f>
      </x:c>
      <x:c r="O79" t="n">
        <x:f>IF(AND($I79="rec-sfm",$D79&lt;&gt;""),$B79,"")</x:f>
        <x:v>0.914229141558867</x:v>
      </x:c>
      <x:c r="P79" t="n">
        <x:f>IF(AND($I79="rec-sfm",$D79&lt;&gt;""),$D79,"")</x:f>
        <x:v>0.285544335842132</x:v>
      </x:c>
      <x:c r="Q79" t="str">
        <x:f>IF(AND($I79="rec-rnd",$D79&lt;&gt;""),$B79,"")</x:f>
      </x:c>
      <x:c r="R79" t="str">
        <x:f>IF(AND($I79="rec-rnd",$D79&lt;&gt;""),$D79,"")</x:f>
      </x:c>
    </x:row>
    <x:row r="80">
      <x:c r="A80" t="str">
        <x:f>'Corr'!C41&amp;"-"&amp;'Corr'!D41&amp;"-"&amp;'Corr'!E41&amp;"-"&amp;'Corr'!F41</x:f>
        <x:v>rec-sfm-v13-p50</x:v>
      </x:c>
      <x:c r="B80" t="n">
        <x:f>'Corr'!B41</x:f>
        <x:v>0.742967439968863</x:v>
      </x:c>
      <x:c r="C80" t="n">
        <x:f>'MAE'!B41</x:f>
        <x:v>0.339953750371933</x:v>
      </x:c>
      <x:c r="D80" t="n">
        <x:f>IF(C80&lt;=$B$3,C80,"")</x:f>
        <x:v>0.339953750371933</x:v>
      </x:c>
      <x:c r="E80" t="str">
        <x:f>'Corr'!C41</x:f>
        <x:v>rec</x:v>
      </x:c>
      <x:c r="F80" t="str">
        <x:f>'Corr'!D41</x:f>
        <x:v>sfm</x:v>
      </x:c>
      <x:c r="G80" t="str">
        <x:f>'Corr'!E41</x:f>
        <x:v>v13</x:v>
      </x:c>
      <x:c r="H80" t="str">
        <x:f>'Corr'!F41</x:f>
        <x:v>p50</x:v>
      </x:c>
      <x:c r="I80" t="str">
        <x:f>E80&amp;"-"&amp;F80</x:f>
        <x:v>rec-sfm</x:v>
      </x:c>
      <x:c r="K80" t="str">
        <x:f>IF(AND($I80="atc-sfm",$D80&lt;&gt;""),$B80,"")</x:f>
      </x:c>
      <x:c r="L80" t="str">
        <x:f>IF(AND($I80="atc-sfm",$D80&lt;&gt;""),$D80,"")</x:f>
      </x:c>
      <x:c r="M80" t="str">
        <x:f>IF(AND($I80="atc-rnd",$D80&lt;&gt;""),$B80,"")</x:f>
      </x:c>
      <x:c r="N80" t="str">
        <x:f>IF(AND($I80="atc-rnd",$D80&lt;&gt;""),$D80,"")</x:f>
      </x:c>
      <x:c r="O80" t="n">
        <x:f>IF(AND($I80="rec-sfm",$D80&lt;&gt;""),$B80,"")</x:f>
        <x:v>0.742967439968863</x:v>
      </x:c>
      <x:c r="P80" t="n">
        <x:f>IF(AND($I80="rec-sfm",$D80&lt;&gt;""),$D80,"")</x:f>
        <x:v>0.339953750371933</x:v>
      </x:c>
      <x:c r="Q80" t="str">
        <x:f>IF(AND($I80="rec-rnd",$D80&lt;&gt;""),$B80,"")</x:f>
      </x:c>
      <x:c r="R80" t="str">
        <x:f>IF(AND($I80="rec-rnd",$D80&lt;&gt;""),$D80,"")</x:f>
      </x:c>
    </x:row>
    <x:row r="81">
      <x:c r="A81" t="str">
        <x:f>'Corr'!C42&amp;"-"&amp;'Corr'!D42&amp;"-"&amp;'Corr'!E42&amp;"-"&amp;'Corr'!F42</x:f>
        <x:v>atc-sfm-v18-p50</x:v>
      </x:c>
      <x:c r="B81" t="n">
        <x:f>'Corr'!B42</x:f>
        <x:v>0.64309265563161</x:v>
      </x:c>
      <x:c r="C81" t="n">
        <x:f>'MAE'!B42</x:f>
        <x:v>0.418788522481918</x:v>
      </x:c>
      <x:c r="D81" t="n">
        <x:f>IF(C81&lt;=$B$3,C81,"")</x:f>
        <x:v>0.418788522481918</x:v>
      </x:c>
      <x:c r="E81" t="str">
        <x:f>'Corr'!C42</x:f>
        <x:v>atc</x:v>
      </x:c>
      <x:c r="F81" t="str">
        <x:f>'Corr'!D42</x:f>
        <x:v>sfm</x:v>
      </x:c>
      <x:c r="G81" t="str">
        <x:f>'Corr'!E42</x:f>
        <x:v>v18</x:v>
      </x:c>
      <x:c r="H81" t="str">
        <x:f>'Corr'!F42</x:f>
        <x:v>p50</x:v>
      </x:c>
      <x:c r="I81" t="str">
        <x:f>E81&amp;"-"&amp;F81</x:f>
        <x:v>atc-sfm</x:v>
      </x:c>
      <x:c r="K81" t="n">
        <x:f>IF(AND($I81="atc-sfm",$D81&lt;&gt;""),$B81,"")</x:f>
        <x:v>0.64309265563161</x:v>
      </x:c>
      <x:c r="L81" t="n">
        <x:f>IF(AND($I81="atc-sfm",$D81&lt;&gt;""),$D81,"")</x:f>
        <x:v>0.418788522481918</x:v>
      </x:c>
      <x:c r="M81" t="str">
        <x:f>IF(AND($I81="atc-rnd",$D81&lt;&gt;""),$B81,"")</x:f>
      </x:c>
      <x:c r="N81" t="str">
        <x:f>IF(AND($I81="atc-rnd",$D81&lt;&gt;""),$D81,"")</x:f>
      </x:c>
      <x:c r="O81" t="str">
        <x:f>IF(AND($I81="rec-sfm",$D81&lt;&gt;""),$B81,"")</x:f>
      </x:c>
      <x:c r="P81" t="str">
        <x:f>IF(AND($I81="rec-sfm",$D81&lt;&gt;""),$D81,"")</x:f>
      </x:c>
      <x:c r="Q81" t="str">
        <x:f>IF(AND($I81="rec-rnd",$D81&lt;&gt;""),$B81,"")</x:f>
      </x:c>
      <x:c r="R81" t="str">
        <x:f>IF(AND($I81="rec-rnd",$D81&lt;&gt;""),$D81,"")</x:f>
      </x:c>
    </x:row>
    <x:row r="82">
      <x:c r="A82" t="str">
        <x:f>'Corr'!C43&amp;"-"&amp;'Corr'!D43&amp;"-"&amp;'Corr'!E43&amp;"-"&amp;'Corr'!F43</x:f>
        <x:v>rec-sfm-v18-p3000</x:v>
      </x:c>
      <x:c r="B82" t="n">
        <x:f>'Corr'!B43</x:f>
        <x:v>-0.0699007083006868</x:v>
      </x:c>
      <x:c r="C82" t="n">
        <x:f>'MAE'!B43</x:f>
        <x:v>0.808712124824523</x:v>
      </x:c>
      <x:c r="D82" t="n">
        <x:f>IF(C82&lt;=$B$3,C82,"")</x:f>
        <x:v>0.808712124824523</x:v>
      </x:c>
      <x:c r="E82" t="str">
        <x:f>'Corr'!C43</x:f>
        <x:v>rec</x:v>
      </x:c>
      <x:c r="F82" t="str">
        <x:f>'Corr'!D43</x:f>
        <x:v>sfm</x:v>
      </x:c>
      <x:c r="G82" t="str">
        <x:f>'Corr'!E43</x:f>
        <x:v>v18</x:v>
      </x:c>
      <x:c r="H82" t="str">
        <x:f>'Corr'!F43</x:f>
        <x:v>p3000</x:v>
      </x:c>
      <x:c r="I82" t="str">
        <x:f>E82&amp;"-"&amp;F82</x:f>
        <x:v>rec-sfm</x:v>
      </x:c>
      <x:c r="K82" t="str">
        <x:f>IF(AND($I82="atc-sfm",$D82&lt;&gt;""),$B82,"")</x:f>
      </x:c>
      <x:c r="L82" t="str">
        <x:f>IF(AND($I82="atc-sfm",$D82&lt;&gt;""),$D82,"")</x:f>
      </x:c>
      <x:c r="M82" t="str">
        <x:f>IF(AND($I82="atc-rnd",$D82&lt;&gt;""),$B82,"")</x:f>
      </x:c>
      <x:c r="N82" t="str">
        <x:f>IF(AND($I82="atc-rnd",$D82&lt;&gt;""),$D82,"")</x:f>
      </x:c>
      <x:c r="O82" t="n">
        <x:f>IF(AND($I82="rec-sfm",$D82&lt;&gt;""),$B82,"")</x:f>
        <x:v>-0.0699007083006868</x:v>
      </x:c>
      <x:c r="P82" t="n">
        <x:f>IF(AND($I82="rec-sfm",$D82&lt;&gt;""),$D82,"")</x:f>
        <x:v>0.808712124824523</x:v>
      </x:c>
      <x:c r="Q82" t="str">
        <x:f>IF(AND($I82="rec-rnd",$D82&lt;&gt;""),$B82,"")</x:f>
      </x:c>
      <x:c r="R82" t="str">
        <x:f>IF(AND($I82="rec-rnd",$D82&lt;&gt;""),$D82,"")</x:f>
      </x:c>
    </x:row>
    <x:row r="83">
      <x:c r="A83" t="str">
        <x:f>'Corr'!C44&amp;"-"&amp;'Corr'!D44&amp;"-"&amp;'Corr'!E44&amp;"-"&amp;'Corr'!F44</x:f>
        <x:v>rec-sfm-v18-p50</x:v>
      </x:c>
      <x:c r="B83" t="n">
        <x:f>'Corr'!B44</x:f>
        <x:v>0.895117373294436</x:v>
      </x:c>
      <x:c r="C83" t="n">
        <x:f>'MAE'!B44</x:f>
        <x:v>0.333796292543411</x:v>
      </x:c>
      <x:c r="D83" t="n">
        <x:f>IF(C83&lt;=$B$3,C83,"")</x:f>
        <x:v>0.333796292543411</x:v>
      </x:c>
      <x:c r="E83" t="str">
        <x:f>'Corr'!C44</x:f>
        <x:v>rec</x:v>
      </x:c>
      <x:c r="F83" t="str">
        <x:f>'Corr'!D44</x:f>
        <x:v>sfm</x:v>
      </x:c>
      <x:c r="G83" t="str">
        <x:f>'Corr'!E44</x:f>
        <x:v>v18</x:v>
      </x:c>
      <x:c r="H83" t="str">
        <x:f>'Corr'!F44</x:f>
        <x:v>p50</x:v>
      </x:c>
      <x:c r="I83" t="str">
        <x:f>E83&amp;"-"&amp;F83</x:f>
        <x:v>rec-sfm</x:v>
      </x:c>
      <x:c r="K83" t="str">
        <x:f>IF(AND($I83="atc-sfm",$D83&lt;&gt;""),$B83,"")</x:f>
      </x:c>
      <x:c r="L83" t="str">
        <x:f>IF(AND($I83="atc-sfm",$D83&lt;&gt;""),$D83,"")</x:f>
      </x:c>
      <x:c r="M83" t="str">
        <x:f>IF(AND($I83="atc-rnd",$D83&lt;&gt;""),$B83,"")</x:f>
      </x:c>
      <x:c r="N83" t="str">
        <x:f>IF(AND($I83="atc-rnd",$D83&lt;&gt;""),$D83,"")</x:f>
      </x:c>
      <x:c r="O83" t="n">
        <x:f>IF(AND($I83="rec-sfm",$D83&lt;&gt;""),$B83,"")</x:f>
        <x:v>0.895117373294436</x:v>
      </x:c>
      <x:c r="P83" t="n">
        <x:f>IF(AND($I83="rec-sfm",$D83&lt;&gt;""),$D83,"")</x:f>
        <x:v>0.333796292543411</x:v>
      </x:c>
      <x:c r="Q83" t="str">
        <x:f>IF(AND($I83="rec-rnd",$D83&lt;&gt;""),$B83,"")</x:f>
      </x:c>
      <x:c r="R83" t="str">
        <x:f>IF(AND($I83="rec-rnd",$D83&lt;&gt;""),$D83,"")</x:f>
      </x:c>
    </x:row>
    <x:row r="84">
      <x:c r="A84" t="str">
        <x:f>'Corr'!C45&amp;"-"&amp;'Corr'!D45&amp;"-"&amp;'Corr'!E45&amp;"-"&amp;'Corr'!F45</x:f>
        <x:v>atc-rnd-v18-p50</x:v>
      </x:c>
      <x:c r="B84" t="n">
        <x:f>'Corr'!B45</x:f>
        <x:v>0.908197977295125</x:v>
      </x:c>
      <x:c r="C84" t="n">
        <x:f>'MAE'!B45</x:f>
        <x:v>0.23444826900959</x:v>
      </x:c>
      <x:c r="D84" t="n">
        <x:f>IF(C84&lt;=$B$3,C84,"")</x:f>
        <x:v>0.23444826900959</x:v>
      </x:c>
      <x:c r="E84" t="str">
        <x:f>'Corr'!C45</x:f>
        <x:v>atc</x:v>
      </x:c>
      <x:c r="F84" t="str">
        <x:f>'Corr'!D45</x:f>
        <x:v>rnd</x:v>
      </x:c>
      <x:c r="G84" t="str">
        <x:f>'Corr'!E45</x:f>
        <x:v>v18</x:v>
      </x:c>
      <x:c r="H84" t="str">
        <x:f>'Corr'!F45</x:f>
        <x:v>p50</x:v>
      </x:c>
      <x:c r="I84" t="str">
        <x:f>E84&amp;"-"&amp;F84</x:f>
        <x:v>atc-rnd</x:v>
      </x:c>
      <x:c r="K84" t="str">
        <x:f>IF(AND($I84="atc-sfm",$D84&lt;&gt;""),$B84,"")</x:f>
      </x:c>
      <x:c r="L84" t="str">
        <x:f>IF(AND($I84="atc-sfm",$D84&lt;&gt;""),$D84,"")</x:f>
      </x:c>
      <x:c r="M84" t="n">
        <x:f>IF(AND($I84="atc-rnd",$D84&lt;&gt;""),$B84,"")</x:f>
        <x:v>0.908197977295125</x:v>
      </x:c>
      <x:c r="N84" t="n">
        <x:f>IF(AND($I84="atc-rnd",$D84&lt;&gt;""),$D84,"")</x:f>
        <x:v>0.23444826900959</x:v>
      </x:c>
      <x:c r="O84" t="str">
        <x:f>IF(AND($I84="rec-sfm",$D84&lt;&gt;""),$B84,"")</x:f>
      </x:c>
      <x:c r="P84" t="str">
        <x:f>IF(AND($I84="rec-sfm",$D84&lt;&gt;""),$D84,"")</x:f>
      </x:c>
      <x:c r="Q84" t="str">
        <x:f>IF(AND($I84="rec-rnd",$D84&lt;&gt;""),$B84,"")</x:f>
      </x:c>
      <x:c r="R84" t="str">
        <x:f>IF(AND($I84="rec-rnd",$D84&lt;&gt;""),$D84,"")</x:f>
      </x:c>
    </x:row>
    <x:row r="85">
      <x:c r="A85" t="str">
        <x:f>'Corr'!C46&amp;"-"&amp;'Corr'!D46&amp;"-"&amp;'Corr'!E46&amp;"-"&amp;'Corr'!F46</x:f>
        <x:v>rec-sfm-v13-p2500</x:v>
      </x:c>
      <x:c r="B85" t="n">
        <x:f>'Corr'!B46</x:f>
        <x:v>0.809580823005472</x:v>
      </x:c>
      <x:c r="C85" t="n">
        <x:f>'MAE'!B46</x:f>
        <x:v>0.586439609527587</x:v>
      </x:c>
      <x:c r="D85" t="n">
        <x:f>IF(C85&lt;=$B$3,C85,"")</x:f>
        <x:v>0.586439609527587</x:v>
      </x:c>
      <x:c r="E85" t="str">
        <x:f>'Corr'!C46</x:f>
        <x:v>rec</x:v>
      </x:c>
      <x:c r="F85" t="str">
        <x:f>'Corr'!D46</x:f>
        <x:v>sfm</x:v>
      </x:c>
      <x:c r="G85" t="str">
        <x:f>'Corr'!E46</x:f>
        <x:v>v13</x:v>
      </x:c>
      <x:c r="H85" t="str">
        <x:f>'Corr'!F46</x:f>
        <x:v>p2500</x:v>
      </x:c>
      <x:c r="I85" t="str">
        <x:f>E85&amp;"-"&amp;F85</x:f>
        <x:v>rec-sfm</x:v>
      </x:c>
      <x:c r="K85" t="str">
        <x:f>IF(AND($I85="atc-sfm",$D85&lt;&gt;""),$B85,"")</x:f>
      </x:c>
      <x:c r="L85" t="str">
        <x:f>IF(AND($I85="atc-sfm",$D85&lt;&gt;""),$D85,"")</x:f>
      </x:c>
      <x:c r="M85" t="str">
        <x:f>IF(AND($I85="atc-rnd",$D85&lt;&gt;""),$B85,"")</x:f>
      </x:c>
      <x:c r="N85" t="str">
        <x:f>IF(AND($I85="atc-rnd",$D85&lt;&gt;""),$D85,"")</x:f>
      </x:c>
      <x:c r="O85" t="n">
        <x:f>IF(AND($I85="rec-sfm",$D85&lt;&gt;""),$B85,"")</x:f>
        <x:v>0.809580823005472</x:v>
      </x:c>
      <x:c r="P85" t="n">
        <x:f>IF(AND($I85="rec-sfm",$D85&lt;&gt;""),$D85,"")</x:f>
        <x:v>0.586439609527587</x:v>
      </x:c>
      <x:c r="Q85" t="str">
        <x:f>IF(AND($I85="rec-rnd",$D85&lt;&gt;""),$B85,"")</x:f>
      </x:c>
      <x:c r="R85" t="str">
        <x:f>IF(AND($I85="rec-rnd",$D85&lt;&gt;""),$D85,"")</x:f>
      </x:c>
    </x:row>
    <x:row r="86">
      <x:c r="A86" t="str">
        <x:f>'Corr'!C47&amp;"-"&amp;'Corr'!D47&amp;"-"&amp;'Corr'!E47&amp;"-"&amp;'Corr'!F47</x:f>
        <x:v>atc-sfm-v08-p250</x:v>
      </x:c>
      <x:c r="B86" t="n">
        <x:f>'Corr'!B47</x:f>
        <x:v>0.840392486598255</x:v>
      </x:c>
      <x:c r="C86" t="n">
        <x:f>'MAE'!B47</x:f>
        <x:v>0.385098010301589</x:v>
      </x:c>
      <x:c r="D86" t="n">
        <x:f>IF(C86&lt;=$B$3,C86,"")</x:f>
        <x:v>0.385098010301589</x:v>
      </x:c>
      <x:c r="E86" t="str">
        <x:f>'Corr'!C47</x:f>
        <x:v>atc</x:v>
      </x:c>
      <x:c r="F86" t="str">
        <x:f>'Corr'!D47</x:f>
        <x:v>sfm</x:v>
      </x:c>
      <x:c r="G86" t="str">
        <x:f>'Corr'!E47</x:f>
        <x:v>v08</x:v>
      </x:c>
      <x:c r="H86" t="str">
        <x:f>'Corr'!F47</x:f>
        <x:v>p250</x:v>
      </x:c>
      <x:c r="I86" t="str">
        <x:f>E86&amp;"-"&amp;F86</x:f>
        <x:v>atc-sfm</x:v>
      </x:c>
      <x:c r="K86" t="n">
        <x:f>IF(AND($I86="atc-sfm",$D86&lt;&gt;""),$B86,"")</x:f>
        <x:v>0.840392486598255</x:v>
      </x:c>
      <x:c r="L86" t="n">
        <x:f>IF(AND($I86="atc-sfm",$D86&lt;&gt;""),$D86,"")</x:f>
        <x:v>0.385098010301589</x:v>
      </x:c>
      <x:c r="M86" t="str">
        <x:f>IF(AND($I86="atc-rnd",$D86&lt;&gt;""),$B86,"")</x:f>
      </x:c>
      <x:c r="N86" t="str">
        <x:f>IF(AND($I86="atc-rnd",$D86&lt;&gt;""),$D86,"")</x:f>
      </x:c>
      <x:c r="O86" t="str">
        <x:f>IF(AND($I86="rec-sfm",$D86&lt;&gt;""),$B86,"")</x:f>
      </x:c>
      <x:c r="P86" t="str">
        <x:f>IF(AND($I86="rec-sfm",$D86&lt;&gt;""),$D86,"")</x:f>
      </x:c>
      <x:c r="Q86" t="str">
        <x:f>IF(AND($I86="rec-rnd",$D86&lt;&gt;""),$B86,"")</x:f>
      </x:c>
      <x:c r="R86" t="str">
        <x:f>IF(AND($I86="rec-rnd",$D86&lt;&gt;""),$D86,"")</x:f>
      </x:c>
    </x:row>
    <x:row r="87">
      <x:c r="A87" t="str">
        <x:f>'Corr'!C48&amp;"-"&amp;'Corr'!D48&amp;"-"&amp;'Corr'!E48&amp;"-"&amp;'Corr'!F48</x:f>
        <x:v>rec-sfm-v13-p3000</x:v>
      </x:c>
      <x:c r="B87" t="n">
        <x:f>'Corr'!B48</x:f>
        <x:v>0.379128085239441</x:v>
      </x:c>
      <x:c r="C87" t="n">
        <x:f>'MAE'!B48</x:f>
        <x:v>0.797441363334655</x:v>
      </x:c>
      <x:c r="D87" t="n">
        <x:f>IF(C87&lt;=$B$3,C87,"")</x:f>
        <x:v>0.797441363334655</x:v>
      </x:c>
      <x:c r="E87" t="str">
        <x:f>'Corr'!C48</x:f>
        <x:v>rec</x:v>
      </x:c>
      <x:c r="F87" t="str">
        <x:f>'Corr'!D48</x:f>
        <x:v>sfm</x:v>
      </x:c>
      <x:c r="G87" t="str">
        <x:f>'Corr'!E48</x:f>
        <x:v>v13</x:v>
      </x:c>
      <x:c r="H87" t="str">
        <x:f>'Corr'!F48</x:f>
        <x:v>p3000</x:v>
      </x:c>
      <x:c r="I87" t="str">
        <x:f>E87&amp;"-"&amp;F87</x:f>
        <x:v>rec-sfm</x:v>
      </x:c>
      <x:c r="K87" t="str">
        <x:f>IF(AND($I87="atc-sfm",$D87&lt;&gt;""),$B87,"")</x:f>
      </x:c>
      <x:c r="L87" t="str">
        <x:f>IF(AND($I87="atc-sfm",$D87&lt;&gt;""),$D87,"")</x:f>
      </x:c>
      <x:c r="M87" t="str">
        <x:f>IF(AND($I87="atc-rnd",$D87&lt;&gt;""),$B87,"")</x:f>
      </x:c>
      <x:c r="N87" t="str">
        <x:f>IF(AND($I87="atc-rnd",$D87&lt;&gt;""),$D87,"")</x:f>
      </x:c>
      <x:c r="O87" t="n">
        <x:f>IF(AND($I87="rec-sfm",$D87&lt;&gt;""),$B87,"")</x:f>
        <x:v>0.379128085239441</x:v>
      </x:c>
      <x:c r="P87" t="n">
        <x:f>IF(AND($I87="rec-sfm",$D87&lt;&gt;""),$D87,"")</x:f>
        <x:v>0.797441363334655</x:v>
      </x:c>
      <x:c r="Q87" t="str">
        <x:f>IF(AND($I87="rec-rnd",$D87&lt;&gt;""),$B87,"")</x:f>
      </x:c>
      <x:c r="R87" t="str">
        <x:f>IF(AND($I87="rec-rnd",$D87&lt;&gt;""),$D87,"")</x:f>
      </x:c>
    </x:row>
    <x:row r="88">
      <x:c r="A88" t="str">
        <x:f>'Corr'!C49&amp;"-"&amp;'Corr'!D49&amp;"-"&amp;'Corr'!E49&amp;"-"&amp;'Corr'!F49</x:f>
        <x:v>atc-rnd-v08-p100</x:v>
      </x:c>
      <x:c r="B88" t="n">
        <x:f>'Corr'!B49</x:f>
        <x:v>0.815409798686205</x:v>
      </x:c>
      <x:c r="C88" t="n">
        <x:f>'MAE'!B49</x:f>
        <x:v>0.832429885864257</x:v>
      </x:c>
      <x:c r="D88" t="n">
        <x:f>IF(C88&lt;=$B$3,C88,"")</x:f>
        <x:v>0.832429885864257</x:v>
      </x:c>
      <x:c r="E88" t="str">
        <x:f>'Corr'!C49</x:f>
        <x:v>atc</x:v>
      </x:c>
      <x:c r="F88" t="str">
        <x:f>'Corr'!D49</x:f>
        <x:v>rnd</x:v>
      </x:c>
      <x:c r="G88" t="str">
        <x:f>'Corr'!E49</x:f>
        <x:v>v08</x:v>
      </x:c>
      <x:c r="H88" t="str">
        <x:f>'Corr'!F49</x:f>
        <x:v>p100</x:v>
      </x:c>
      <x:c r="I88" t="str">
        <x:f>E88&amp;"-"&amp;F88</x:f>
        <x:v>atc-rnd</x:v>
      </x:c>
      <x:c r="K88" t="str">
        <x:f>IF(AND($I88="atc-sfm",$D88&lt;&gt;""),$B88,"")</x:f>
      </x:c>
      <x:c r="L88" t="str">
        <x:f>IF(AND($I88="atc-sfm",$D88&lt;&gt;""),$D88,"")</x:f>
      </x:c>
      <x:c r="M88" t="n">
        <x:f>IF(AND($I88="atc-rnd",$D88&lt;&gt;""),$B88,"")</x:f>
        <x:v>0.815409798686205</x:v>
      </x:c>
      <x:c r="N88" t="n">
        <x:f>IF(AND($I88="atc-rnd",$D88&lt;&gt;""),$D88,"")</x:f>
        <x:v>0.832429885864257</x:v>
      </x:c>
      <x:c r="O88" t="str">
        <x:f>IF(AND($I88="rec-sfm",$D88&lt;&gt;""),$B88,"")</x:f>
      </x:c>
      <x:c r="P88" t="str">
        <x:f>IF(AND($I88="rec-sfm",$D88&lt;&gt;""),$D88,"")</x:f>
      </x:c>
      <x:c r="Q88" t="str">
        <x:f>IF(AND($I88="rec-rnd",$D88&lt;&gt;""),$B88,"")</x:f>
      </x:c>
      <x:c r="R88" t="str">
        <x:f>IF(AND($I88="rec-rnd",$D88&lt;&gt;""),$D88,"")</x:f>
      </x:c>
    </x:row>
    <x:row r="89">
      <x:c r="A89" t="str">
        <x:f>'Corr'!C50&amp;"-"&amp;'Corr'!D50&amp;"-"&amp;'Corr'!E50&amp;"-"&amp;'Corr'!F50</x:f>
        <x:v>rec-sfm-v13-p100</x:v>
      </x:c>
      <x:c r="B89" t="n">
        <x:f>'Corr'!B50</x:f>
        <x:v>0.879561101009918</x:v>
      </x:c>
      <x:c r="C89" t="n">
        <x:f>'MAE'!B50</x:f>
        <x:v>0.232488736510276</x:v>
      </x:c>
      <x:c r="D89" t="n">
        <x:f>IF(C89&lt;=$B$3,C89,"")</x:f>
        <x:v>0.232488736510276</x:v>
      </x:c>
      <x:c r="E89" t="str">
        <x:f>'Corr'!C50</x:f>
        <x:v>rec</x:v>
      </x:c>
      <x:c r="F89" t="str">
        <x:f>'Corr'!D50</x:f>
        <x:v>sfm</x:v>
      </x:c>
      <x:c r="G89" t="str">
        <x:f>'Corr'!E50</x:f>
        <x:v>v13</x:v>
      </x:c>
      <x:c r="H89" t="str">
        <x:f>'Corr'!F50</x:f>
        <x:v>p100</x:v>
      </x:c>
      <x:c r="I89" t="str">
        <x:f>E89&amp;"-"&amp;F89</x:f>
        <x:v>rec-sfm</x:v>
      </x:c>
      <x:c r="K89" t="str">
        <x:f>IF(AND($I89="atc-sfm",$D89&lt;&gt;""),$B89,"")</x:f>
      </x:c>
      <x:c r="L89" t="str">
        <x:f>IF(AND($I89="atc-sfm",$D89&lt;&gt;""),$D89,"")</x:f>
      </x:c>
      <x:c r="M89" t="str">
        <x:f>IF(AND($I89="atc-rnd",$D89&lt;&gt;""),$B89,"")</x:f>
      </x:c>
      <x:c r="N89" t="str">
        <x:f>IF(AND($I89="atc-rnd",$D89&lt;&gt;""),$D89,"")</x:f>
      </x:c>
      <x:c r="O89" t="n">
        <x:f>IF(AND($I89="rec-sfm",$D89&lt;&gt;""),$B89,"")</x:f>
        <x:v>0.879561101009918</x:v>
      </x:c>
      <x:c r="P89" t="n">
        <x:f>IF(AND($I89="rec-sfm",$D89&lt;&gt;""),$D89,"")</x:f>
        <x:v>0.232488736510276</x:v>
      </x:c>
      <x:c r="Q89" t="str">
        <x:f>IF(AND($I89="rec-rnd",$D89&lt;&gt;""),$B89,"")</x:f>
      </x:c>
      <x:c r="R89" t="str">
        <x:f>IF(AND($I89="rec-rnd",$D89&lt;&gt;""),$D89,"")</x:f>
      </x:c>
    </x:row>
    <x:row r="90">
      <x:c r="A90" t="str">
        <x:f>'Corr'!C51&amp;"-"&amp;'Corr'!D51&amp;"-"&amp;'Corr'!E51&amp;"-"&amp;'Corr'!F51</x:f>
        <x:v>atc-rnd-v08-p250</x:v>
      </x:c>
      <x:c r="B90" t="n">
        <x:f>'Corr'!B51</x:f>
        <x:v>0.277647150620847</x:v>
      </x:c>
      <x:c r="C90" t="n">
        <x:f>'MAE'!B51</x:f>
        <x:v>12548955</x:v>
      </x:c>
      <x:c r="D90" t="str">
        <x:f>IF(C90&lt;=$B$3,C90,"")</x:f>
      </x:c>
      <x:c r="E90" t="str">
        <x:f>'Corr'!C51</x:f>
        <x:v>atc</x:v>
      </x:c>
      <x:c r="F90" t="str">
        <x:f>'Corr'!D51</x:f>
        <x:v>rnd</x:v>
      </x:c>
      <x:c r="G90" t="str">
        <x:f>'Corr'!E51</x:f>
        <x:v>v08</x:v>
      </x:c>
      <x:c r="H90" t="str">
        <x:f>'Corr'!F51</x:f>
        <x:v>p250</x:v>
      </x:c>
      <x:c r="I90" t="str">
        <x:f>E90&amp;"-"&amp;F90</x:f>
        <x:v>atc-rnd</x:v>
      </x:c>
      <x:c r="K90" t="str">
        <x:f>IF(AND($I90="atc-sfm",$D90&lt;&gt;""),$B90,"")</x:f>
      </x:c>
      <x:c r="L90" t="str">
        <x:f>IF(AND($I90="atc-sfm",$D90&lt;&gt;""),$D90,"")</x:f>
      </x:c>
      <x:c r="M90" t="str">
        <x:f>IF(AND($I90="atc-rnd",$D90&lt;&gt;""),$B90,"")</x:f>
      </x:c>
      <x:c r="N90" t="str">
        <x:f>IF(AND($I90="atc-rnd",$D90&lt;&gt;""),$D90,"")</x:f>
      </x:c>
      <x:c r="O90" t="str">
        <x:f>IF(AND($I90="rec-sfm",$D90&lt;&gt;""),$B90,"")</x:f>
      </x:c>
      <x:c r="P90" t="str">
        <x:f>IF(AND($I90="rec-sfm",$D90&lt;&gt;""),$D90,"")</x:f>
      </x:c>
      <x:c r="Q90" t="str">
        <x:f>IF(AND($I90="rec-rnd",$D90&lt;&gt;""),$B90,"")</x:f>
      </x:c>
      <x:c r="R90" t="str">
        <x:f>IF(AND($I90="rec-rnd",$D90&lt;&gt;""),$D90,"")</x:f>
      </x:c>
    </x:row>
    <x:row r="91">
      <x:c r="A91" t="str">
        <x:f>'Corr'!C52&amp;"-"&amp;'Corr'!D52&amp;"-"&amp;'Corr'!E52&amp;"-"&amp;'Corr'!F52</x:f>
        <x:v>atc-sfm-v08-p100</x:v>
      </x:c>
      <x:c r="B91" t="n">
        <x:f>'Corr'!B52</x:f>
        <x:v>0.658865598564207</x:v>
      </x:c>
      <x:c r="C91" t="n">
        <x:f>'MAE'!B52</x:f>
        <x:v>0.429230391979217</x:v>
      </x:c>
      <x:c r="D91" t="n">
        <x:f>IF(C91&lt;=$B$3,C91,"")</x:f>
        <x:v>0.429230391979217</x:v>
      </x:c>
      <x:c r="E91" t="str">
        <x:f>'Corr'!C52</x:f>
        <x:v>atc</x:v>
      </x:c>
      <x:c r="F91" t="str">
        <x:f>'Corr'!D52</x:f>
        <x:v>sfm</x:v>
      </x:c>
      <x:c r="G91" t="str">
        <x:f>'Corr'!E52</x:f>
        <x:v>v08</x:v>
      </x:c>
      <x:c r="H91" t="str">
        <x:f>'Corr'!F52</x:f>
        <x:v>p100</x:v>
      </x:c>
      <x:c r="I91" t="str">
        <x:f>E91&amp;"-"&amp;F91</x:f>
        <x:v>atc-sfm</x:v>
      </x:c>
      <x:c r="K91" t="n">
        <x:f>IF(AND($I91="atc-sfm",$D91&lt;&gt;""),$B91,"")</x:f>
        <x:v>0.658865598564207</x:v>
      </x:c>
      <x:c r="L91" t="n">
        <x:f>IF(AND($I91="atc-sfm",$D91&lt;&gt;""),$D91,"")</x:f>
        <x:v>0.429230391979217</x:v>
      </x:c>
      <x:c r="M91" t="str">
        <x:f>IF(AND($I91="atc-rnd",$D91&lt;&gt;""),$B91,"")</x:f>
      </x:c>
      <x:c r="N91" t="str">
        <x:f>IF(AND($I91="atc-rnd",$D91&lt;&gt;""),$D91,"")</x:f>
      </x:c>
      <x:c r="O91" t="str">
        <x:f>IF(AND($I91="rec-sfm",$D91&lt;&gt;""),$B91,"")</x:f>
      </x:c>
      <x:c r="P91" t="str">
        <x:f>IF(AND($I91="rec-sfm",$D91&lt;&gt;""),$D91,"")</x:f>
      </x:c>
      <x:c r="Q91" t="str">
        <x:f>IF(AND($I91="rec-rnd",$D91&lt;&gt;""),$B91,"")</x:f>
      </x:c>
      <x:c r="R91" t="str">
        <x:f>IF(AND($I91="rec-rnd",$D91&lt;&gt;""),$D91,"")</x:f>
      </x:c>
    </x:row>
    <x:row r="92">
      <x:c r="A92" t="str">
        <x:f>'Corr'!C53&amp;"-"&amp;'Corr'!D53&amp;"-"&amp;'Corr'!E53&amp;"-"&amp;'Corr'!F53</x:f>
        <x:v>atc-sfm-v13-p3000</x:v>
      </x:c>
      <x:c r="B92" t="n">
        <x:f>'Corr'!B53</x:f>
        <x:v>0.884305199676254</x:v>
      </x:c>
      <x:c r="C92" t="n">
        <x:f>'MAE'!B53</x:f>
        <x:v>0.402688890695571</x:v>
      </x:c>
      <x:c r="D92" t="n">
        <x:f>IF(C92&lt;=$B$3,C92,"")</x:f>
        <x:v>0.402688890695571</x:v>
      </x:c>
      <x:c r="E92" t="str">
        <x:f>'Corr'!C53</x:f>
        <x:v>atc</x:v>
      </x:c>
      <x:c r="F92" t="str">
        <x:f>'Corr'!D53</x:f>
        <x:v>sfm</x:v>
      </x:c>
      <x:c r="G92" t="str">
        <x:f>'Corr'!E53</x:f>
        <x:v>v13</x:v>
      </x:c>
      <x:c r="H92" t="str">
        <x:f>'Corr'!F53</x:f>
        <x:v>p3000</x:v>
      </x:c>
      <x:c r="I92" t="str">
        <x:f>E92&amp;"-"&amp;F92</x:f>
        <x:v>atc-sfm</x:v>
      </x:c>
      <x:c r="K92" t="n">
        <x:f>IF(AND($I92="atc-sfm",$D92&lt;&gt;""),$B92,"")</x:f>
        <x:v>0.884305199676254</x:v>
      </x:c>
      <x:c r="L92" t="n">
        <x:f>IF(AND($I92="atc-sfm",$D92&lt;&gt;""),$D92,"")</x:f>
        <x:v>0.402688890695571</x:v>
      </x:c>
      <x:c r="M92" t="str">
        <x:f>IF(AND($I92="atc-rnd",$D92&lt;&gt;""),$B92,"")</x:f>
      </x:c>
      <x:c r="N92" t="str">
        <x:f>IF(AND($I92="atc-rnd",$D92&lt;&gt;""),$D92,"")</x:f>
      </x:c>
      <x:c r="O92" t="str">
        <x:f>IF(AND($I92="rec-sfm",$D92&lt;&gt;""),$B92,"")</x:f>
      </x:c>
      <x:c r="P92" t="str">
        <x:f>IF(AND($I92="rec-sfm",$D92&lt;&gt;""),$D92,"")</x:f>
      </x:c>
      <x:c r="Q92" t="str">
        <x:f>IF(AND($I92="rec-rnd",$D92&lt;&gt;""),$B92,"")</x:f>
      </x:c>
      <x:c r="R92" t="str">
        <x:f>IF(AND($I92="rec-rnd",$D92&lt;&gt;""),$D92,"")</x:f>
      </x:c>
    </x:row>
    <x:row r="93">
      <x:c r="A93" t="str">
        <x:f>'Corr'!C54&amp;"-"&amp;'Corr'!D54&amp;"-"&amp;'Corr'!E54&amp;"-"&amp;'Corr'!F54</x:f>
        <x:v>rec-sfm-v13-p250</x:v>
      </x:c>
      <x:c r="B93" t="n">
        <x:f>'Corr'!B54</x:f>
        <x:v>0.863940679650994</x:v>
      </x:c>
      <x:c r="C93" t="n">
        <x:f>'MAE'!B54</x:f>
        <x:v>0.248728170990943</x:v>
      </x:c>
      <x:c r="D93" t="n">
        <x:f>IF(C93&lt;=$B$3,C93,"")</x:f>
        <x:v>0.248728170990943</x:v>
      </x:c>
      <x:c r="E93" t="str">
        <x:f>'Corr'!C54</x:f>
        <x:v>rec</x:v>
      </x:c>
      <x:c r="F93" t="str">
        <x:f>'Corr'!D54</x:f>
        <x:v>sfm</x:v>
      </x:c>
      <x:c r="G93" t="str">
        <x:f>'Corr'!E54</x:f>
        <x:v>v13</x:v>
      </x:c>
      <x:c r="H93" t="str">
        <x:f>'Corr'!F54</x:f>
        <x:v>p250</x:v>
      </x:c>
      <x:c r="I93" t="str">
        <x:f>E93&amp;"-"&amp;F93</x:f>
        <x:v>rec-sfm</x:v>
      </x:c>
      <x:c r="K93" t="str">
        <x:f>IF(AND($I93="atc-sfm",$D93&lt;&gt;""),$B93,"")</x:f>
      </x:c>
      <x:c r="L93" t="str">
        <x:f>IF(AND($I93="atc-sfm",$D93&lt;&gt;""),$D93,"")</x:f>
      </x:c>
      <x:c r="M93" t="str">
        <x:f>IF(AND($I93="atc-rnd",$D93&lt;&gt;""),$B93,"")</x:f>
      </x:c>
      <x:c r="N93" t="str">
        <x:f>IF(AND($I93="atc-rnd",$D93&lt;&gt;""),$D93,"")</x:f>
      </x:c>
      <x:c r="O93" t="n">
        <x:f>IF(AND($I93="rec-sfm",$D93&lt;&gt;""),$B93,"")</x:f>
        <x:v>0.863940679650994</x:v>
      </x:c>
      <x:c r="P93" t="n">
        <x:f>IF(AND($I93="rec-sfm",$D93&lt;&gt;""),$D93,"")</x:f>
        <x:v>0.248728170990943</x:v>
      </x:c>
      <x:c r="Q93" t="str">
        <x:f>IF(AND($I93="rec-rnd",$D93&lt;&gt;""),$B93,"")</x:f>
      </x:c>
      <x:c r="R93" t="str">
        <x:f>IF(AND($I93="rec-rnd",$D93&lt;&gt;""),$D93,"")</x:f>
      </x:c>
    </x:row>
    <x:row r="94">
      <x:c r="A94" t="str">
        <x:f>'Corr'!C55&amp;"-"&amp;'Corr'!D55&amp;"-"&amp;'Corr'!E55&amp;"-"&amp;'Corr'!F55</x:f>
        <x:v>atc-sfm-v08-p500</x:v>
      </x:c>
      <x:c r="B94" t="n">
        <x:f>'Corr'!B55</x:f>
        <x:v>0.895337564961247</x:v>
      </x:c>
      <x:c r="C94" t="n">
        <x:f>'MAE'!B55</x:f>
        <x:v>0.264152765274047</x:v>
      </x:c>
      <x:c r="D94" t="n">
        <x:f>IF(C94&lt;=$B$3,C94,"")</x:f>
        <x:v>0.264152765274047</x:v>
      </x:c>
      <x:c r="E94" t="str">
        <x:f>'Corr'!C55</x:f>
        <x:v>atc</x:v>
      </x:c>
      <x:c r="F94" t="str">
        <x:f>'Corr'!D55</x:f>
        <x:v>sfm</x:v>
      </x:c>
      <x:c r="G94" t="str">
        <x:f>'Corr'!E55</x:f>
        <x:v>v08</x:v>
      </x:c>
      <x:c r="H94" t="str">
        <x:f>'Corr'!F55</x:f>
        <x:v>p500</x:v>
      </x:c>
      <x:c r="I94" t="str">
        <x:f>E94&amp;"-"&amp;F94</x:f>
        <x:v>atc-sfm</x:v>
      </x:c>
      <x:c r="K94" t="n">
        <x:f>IF(AND($I94="atc-sfm",$D94&lt;&gt;""),$B94,"")</x:f>
        <x:v>0.895337564961247</x:v>
      </x:c>
      <x:c r="L94" t="n">
        <x:f>IF(AND($I94="atc-sfm",$D94&lt;&gt;""),$D94,"")</x:f>
        <x:v>0.264152765274047</x:v>
      </x:c>
      <x:c r="M94" t="str">
        <x:f>IF(AND($I94="atc-rnd",$D94&lt;&gt;""),$B94,"")</x:f>
      </x:c>
      <x:c r="N94" t="str">
        <x:f>IF(AND($I94="atc-rnd",$D94&lt;&gt;""),$D94,"")</x:f>
      </x:c>
      <x:c r="O94" t="str">
        <x:f>IF(AND($I94="rec-sfm",$D94&lt;&gt;""),$B94,"")</x:f>
      </x:c>
      <x:c r="P94" t="str">
        <x:f>IF(AND($I94="rec-sfm",$D94&lt;&gt;""),$D94,"")</x:f>
      </x:c>
      <x:c r="Q94" t="str">
        <x:f>IF(AND($I94="rec-rnd",$D94&lt;&gt;""),$B94,"")</x:f>
      </x:c>
      <x:c r="R94" t="str">
        <x:f>IF(AND($I94="rec-rnd",$D94&lt;&gt;""),$D94,"")</x:f>
      </x:c>
    </x:row>
    <x:row r="95">
      <x:c r="A95" t="str">
        <x:f>'Corr'!C56&amp;"-"&amp;'Corr'!D56&amp;"-"&amp;'Corr'!E56&amp;"-"&amp;'Corr'!F56</x:f>
        <x:v>atc-sfm-v13-p500</x:v>
      </x:c>
      <x:c r="B95" t="n">
        <x:f>'Corr'!B56</x:f>
        <x:v>0.871060604860088</x:v>
      </x:c>
      <x:c r="C95" t="n">
        <x:f>'MAE'!B56</x:f>
        <x:v>0.274356663227081</x:v>
      </x:c>
      <x:c r="D95" t="n">
        <x:f>IF(C95&lt;=$B$3,C95,"")</x:f>
        <x:v>0.274356663227081</x:v>
      </x:c>
      <x:c r="E95" t="str">
        <x:f>'Corr'!C56</x:f>
        <x:v>atc</x:v>
      </x:c>
      <x:c r="F95" t="str">
        <x:f>'Corr'!D56</x:f>
        <x:v>sfm</x:v>
      </x:c>
      <x:c r="G95" t="str">
        <x:f>'Corr'!E56</x:f>
        <x:v>v13</x:v>
      </x:c>
      <x:c r="H95" t="str">
        <x:f>'Corr'!F56</x:f>
        <x:v>p500</x:v>
      </x:c>
      <x:c r="I95" t="str">
        <x:f>E95&amp;"-"&amp;F95</x:f>
        <x:v>atc-sfm</x:v>
      </x:c>
      <x:c r="K95" t="n">
        <x:f>IF(AND($I95="atc-sfm",$D95&lt;&gt;""),$B95,"")</x:f>
        <x:v>0.871060604860088</x:v>
      </x:c>
      <x:c r="L95" t="n">
        <x:f>IF(AND($I95="atc-sfm",$D95&lt;&gt;""),$D95,"")</x:f>
        <x:v>0.274356663227081</x:v>
      </x:c>
      <x:c r="M95" t="str">
        <x:f>IF(AND($I95="atc-rnd",$D95&lt;&gt;""),$B95,"")</x:f>
      </x:c>
      <x:c r="N95" t="str">
        <x:f>IF(AND($I95="atc-rnd",$D95&lt;&gt;""),$D95,"")</x:f>
      </x:c>
      <x:c r="O95" t="str">
        <x:f>IF(AND($I95="rec-sfm",$D95&lt;&gt;""),$B95,"")</x:f>
      </x:c>
      <x:c r="P95" t="str">
        <x:f>IF(AND($I95="rec-sfm",$D95&lt;&gt;""),$D95,"")</x:f>
      </x:c>
      <x:c r="Q95" t="str">
        <x:f>IF(AND($I95="rec-rnd",$D95&lt;&gt;""),$B95,"")</x:f>
      </x:c>
      <x:c r="R95" t="str">
        <x:f>IF(AND($I95="rec-rnd",$D95&lt;&gt;""),$D95,"")</x:f>
      </x:c>
    </x:row>
    <x:row r="96">
      <x:c r="A96" t="str">
        <x:f>'Corr'!C57&amp;"-"&amp;'Corr'!D57&amp;"-"&amp;'Corr'!E57&amp;"-"&amp;'Corr'!F57</x:f>
        <x:v>atc-sfm-v08-p1500</x:v>
      </x:c>
      <x:c r="B96" t="n">
        <x:f>'Corr'!B57</x:f>
        <x:v>0.921268306873422</x:v>
      </x:c>
      <x:c r="C96" t="n">
        <x:f>'MAE'!B57</x:f>
        <x:v>0.23108921945095</x:v>
      </x:c>
      <x:c r="D96" t="n">
        <x:f>IF(C96&lt;=$B$3,C96,"")</x:f>
        <x:v>0.23108921945095</x:v>
      </x:c>
      <x:c r="E96" t="str">
        <x:f>'Corr'!C57</x:f>
        <x:v>atc</x:v>
      </x:c>
      <x:c r="F96" t="str">
        <x:f>'Corr'!D57</x:f>
        <x:v>sfm</x:v>
      </x:c>
      <x:c r="G96" t="str">
        <x:f>'Corr'!E57</x:f>
        <x:v>v08</x:v>
      </x:c>
      <x:c r="H96" t="str">
        <x:f>'Corr'!F57</x:f>
        <x:v>p1500</x:v>
      </x:c>
      <x:c r="I96" t="str">
        <x:f>E96&amp;"-"&amp;F96</x:f>
        <x:v>atc-sfm</x:v>
      </x:c>
      <x:c r="K96" t="n">
        <x:f>IF(AND($I96="atc-sfm",$D96&lt;&gt;""),$B96,"")</x:f>
        <x:v>0.921268306873422</x:v>
      </x:c>
      <x:c r="L96" t="n">
        <x:f>IF(AND($I96="atc-sfm",$D96&lt;&gt;""),$D96,"")</x:f>
        <x:v>0.23108921945095</x:v>
      </x:c>
      <x:c r="M96" t="str">
        <x:f>IF(AND($I96="atc-rnd",$D96&lt;&gt;""),$B96,"")</x:f>
      </x:c>
      <x:c r="N96" t="str">
        <x:f>IF(AND($I96="atc-rnd",$D96&lt;&gt;""),$D96,"")</x:f>
      </x:c>
      <x:c r="O96" t="str">
        <x:f>IF(AND($I96="rec-sfm",$D96&lt;&gt;""),$B96,"")</x:f>
      </x:c>
      <x:c r="P96" t="str">
        <x:f>IF(AND($I96="rec-sfm",$D96&lt;&gt;""),$D96,"")</x:f>
      </x:c>
      <x:c r="Q96" t="str">
        <x:f>IF(AND($I96="rec-rnd",$D96&lt;&gt;""),$B96,"")</x:f>
      </x:c>
      <x:c r="R96" t="str">
        <x:f>IF(AND($I96="rec-rnd",$D96&lt;&gt;""),$D96,"")</x:f>
      </x:c>
    </x:row>
    <x:row r="97">
      <x:c r="A97" t="str">
        <x:f>'Corr'!C58&amp;"-"&amp;'Corr'!D58&amp;"-"&amp;'Corr'!E58&amp;"-"&amp;'Corr'!F58</x:f>
        <x:v>atc-rnd-v08-p500</x:v>
      </x:c>
      <x:c r="B97" t="n">
        <x:f>'Corr'!B58</x:f>
        <x:v>0.264836595922884</x:v>
      </x:c>
      <x:c r="C97" t="n">
        <x:f>'MAE'!B58</x:f>
        <x:v>37292728320</x:v>
      </x:c>
      <x:c r="D97" t="str">
        <x:f>IF(C97&lt;=$B$3,C97,"")</x:f>
      </x:c>
      <x:c r="E97" t="str">
        <x:f>'Corr'!C58</x:f>
        <x:v>atc</x:v>
      </x:c>
      <x:c r="F97" t="str">
        <x:f>'Corr'!D58</x:f>
        <x:v>rnd</x:v>
      </x:c>
      <x:c r="G97" t="str">
        <x:f>'Corr'!E58</x:f>
        <x:v>v08</x:v>
      </x:c>
      <x:c r="H97" t="str">
        <x:f>'Corr'!F58</x:f>
        <x:v>p500</x:v>
      </x:c>
      <x:c r="I97" t="str">
        <x:f>E97&amp;"-"&amp;F97</x:f>
        <x:v>atc-rnd</x:v>
      </x:c>
      <x:c r="K97" t="str">
        <x:f>IF(AND($I97="atc-sfm",$D97&lt;&gt;""),$B97,"")</x:f>
      </x:c>
      <x:c r="L97" t="str">
        <x:f>IF(AND($I97="atc-sfm",$D97&lt;&gt;""),$D97,"")</x:f>
      </x:c>
      <x:c r="M97" t="str">
        <x:f>IF(AND($I97="atc-rnd",$D97&lt;&gt;""),$B97,"")</x:f>
      </x:c>
      <x:c r="N97" t="str">
        <x:f>IF(AND($I97="atc-rnd",$D97&lt;&gt;""),$D97,"")</x:f>
      </x:c>
      <x:c r="O97" t="str">
        <x:f>IF(AND($I97="rec-sfm",$D97&lt;&gt;""),$B97,"")</x:f>
      </x:c>
      <x:c r="P97" t="str">
        <x:f>IF(AND($I97="rec-sfm",$D97&lt;&gt;""),$D97,"")</x:f>
      </x:c>
      <x:c r="Q97" t="str">
        <x:f>IF(AND($I97="rec-rnd",$D97&lt;&gt;""),$B97,"")</x:f>
      </x:c>
      <x:c r="R97" t="str">
        <x:f>IF(AND($I97="rec-rnd",$D97&lt;&gt;""),$D97,"")</x:f>
      </x:c>
    </x:row>
    <x:row r="98">
      <x:c r="A98" t="str">
        <x:f>'Corr'!C59&amp;"-"&amp;'Corr'!D59&amp;"-"&amp;'Corr'!E59&amp;"-"&amp;'Corr'!F59</x:f>
        <x:v>rec-sfm-v18-p1500</x:v>
      </x:c>
      <x:c r="B98" t="n">
        <x:f>'Corr'!B59</x:f>
        <x:v>0.732357963465282</x:v>
      </x:c>
      <x:c r="C98" t="n">
        <x:f>'MAE'!B59</x:f>
        <x:v>0.574687838554382</x:v>
      </x:c>
      <x:c r="D98" t="n">
        <x:f>IF(C98&lt;=$B$3,C98,"")</x:f>
        <x:v>0.574687838554382</x:v>
      </x:c>
      <x:c r="E98" t="str">
        <x:f>'Corr'!C59</x:f>
        <x:v>rec</x:v>
      </x:c>
      <x:c r="F98" t="str">
        <x:f>'Corr'!D59</x:f>
        <x:v>sfm</x:v>
      </x:c>
      <x:c r="G98" t="str">
        <x:f>'Corr'!E59</x:f>
        <x:v>v18</x:v>
      </x:c>
      <x:c r="H98" t="str">
        <x:f>'Corr'!F59</x:f>
        <x:v>p1500</x:v>
      </x:c>
      <x:c r="I98" t="str">
        <x:f>E98&amp;"-"&amp;F98</x:f>
        <x:v>rec-sfm</x:v>
      </x:c>
      <x:c r="K98" t="str">
        <x:f>IF(AND($I98="atc-sfm",$D98&lt;&gt;""),$B98,"")</x:f>
      </x:c>
      <x:c r="L98" t="str">
        <x:f>IF(AND($I98="atc-sfm",$D98&lt;&gt;""),$D98,"")</x:f>
      </x:c>
      <x:c r="M98" t="str">
        <x:f>IF(AND($I98="atc-rnd",$D98&lt;&gt;""),$B98,"")</x:f>
      </x:c>
      <x:c r="N98" t="str">
        <x:f>IF(AND($I98="atc-rnd",$D98&lt;&gt;""),$D98,"")</x:f>
      </x:c>
      <x:c r="O98" t="n">
        <x:f>IF(AND($I98="rec-sfm",$D98&lt;&gt;""),$B98,"")</x:f>
        <x:v>0.732357963465282</x:v>
      </x:c>
      <x:c r="P98" t="n">
        <x:f>IF(AND($I98="rec-sfm",$D98&lt;&gt;""),$D98,"")</x:f>
        <x:v>0.574687838554382</x:v>
      </x:c>
      <x:c r="Q98" t="str">
        <x:f>IF(AND($I98="rec-rnd",$D98&lt;&gt;""),$B98,"")</x:f>
      </x:c>
      <x:c r="R98" t="str">
        <x:f>IF(AND($I98="rec-rnd",$D98&lt;&gt;""),$D98,"")</x:f>
      </x:c>
    </x:row>
    <x:row r="99">
      <x:c r="A99" t="str">
        <x:f>'Corr'!C60&amp;"-"&amp;'Corr'!D60&amp;"-"&amp;'Corr'!E60&amp;"-"&amp;'Corr'!F60</x:f>
        <x:v>rec-sfm-v13-p500</x:v>
      </x:c>
      <x:c r="B99" t="n">
        <x:f>'Corr'!B60</x:f>
        <x:v>0.928091274094939</x:v>
      </x:c>
      <x:c r="C99" t="n">
        <x:f>'MAE'!B60</x:f>
        <x:v>0.232029616832733</x:v>
      </x:c>
      <x:c r="D99" t="n">
        <x:f>IF(C99&lt;=$B$3,C99,"")</x:f>
        <x:v>0.232029616832733</x:v>
      </x:c>
      <x:c r="E99" t="str">
        <x:f>'Corr'!C60</x:f>
        <x:v>rec</x:v>
      </x:c>
      <x:c r="F99" t="str">
        <x:f>'Corr'!D60</x:f>
        <x:v>sfm</x:v>
      </x:c>
      <x:c r="G99" t="str">
        <x:f>'Corr'!E60</x:f>
        <x:v>v13</x:v>
      </x:c>
      <x:c r="H99" t="str">
        <x:f>'Corr'!F60</x:f>
        <x:v>p500</x:v>
      </x:c>
      <x:c r="I99" t="str">
        <x:f>E99&amp;"-"&amp;F99</x:f>
        <x:v>rec-sfm</x:v>
      </x:c>
      <x:c r="K99" t="str">
        <x:f>IF(AND($I99="atc-sfm",$D99&lt;&gt;""),$B99,"")</x:f>
      </x:c>
      <x:c r="L99" t="str">
        <x:f>IF(AND($I99="atc-sfm",$D99&lt;&gt;""),$D99,"")</x:f>
      </x:c>
      <x:c r="M99" t="str">
        <x:f>IF(AND($I99="atc-rnd",$D99&lt;&gt;""),$B99,"")</x:f>
      </x:c>
      <x:c r="N99" t="str">
        <x:f>IF(AND($I99="atc-rnd",$D99&lt;&gt;""),$D99,"")</x:f>
      </x:c>
      <x:c r="O99" t="n">
        <x:f>IF(AND($I99="rec-sfm",$D99&lt;&gt;""),$B99,"")</x:f>
        <x:v>0.928091274094939</x:v>
      </x:c>
      <x:c r="P99" t="n">
        <x:f>IF(AND($I99="rec-sfm",$D99&lt;&gt;""),$D99,"")</x:f>
        <x:v>0.232029616832733</x:v>
      </x:c>
      <x:c r="Q99" t="str">
        <x:f>IF(AND($I99="rec-rnd",$D99&lt;&gt;""),$B99,"")</x:f>
      </x:c>
      <x:c r="R99" t="str">
        <x:f>IF(AND($I99="rec-rnd",$D99&lt;&gt;""),$D99,"")</x:f>
      </x:c>
    </x:row>
    <x:row r="100">
      <x:c r="A100" t="str">
        <x:f>'Corr'!C61&amp;"-"&amp;'Corr'!D61&amp;"-"&amp;'Corr'!E61&amp;"-"&amp;'Corr'!F61</x:f>
        <x:v>rec-rnd-v08-p100</x:v>
      </x:c>
      <x:c r="B100" t="n">
        <x:f>'Corr'!B61</x:f>
        <x:v>0.889693710829551</x:v>
      </x:c>
      <x:c r="C100" t="n">
        <x:f>'MAE'!B61</x:f>
        <x:v>0.341910660266876</x:v>
      </x:c>
      <x:c r="D100" t="n">
        <x:f>IF(C100&lt;=$B$3,C100,"")</x:f>
        <x:v>0.341910660266876</x:v>
      </x:c>
      <x:c r="E100" t="str">
        <x:f>'Corr'!C61</x:f>
        <x:v>rec</x:v>
      </x:c>
      <x:c r="F100" t="str">
        <x:f>'Corr'!D61</x:f>
        <x:v>rnd</x:v>
      </x:c>
      <x:c r="G100" t="str">
        <x:f>'Corr'!E61</x:f>
        <x:v>v08</x:v>
      </x:c>
      <x:c r="H100" t="str">
        <x:f>'Corr'!F61</x:f>
        <x:v>p100</x:v>
      </x:c>
      <x:c r="I100" t="str">
        <x:f>E100&amp;"-"&amp;F100</x:f>
        <x:v>rec-rnd</x:v>
      </x:c>
      <x:c r="K100" t="str">
        <x:f>IF(AND($I100="atc-sfm",$D100&lt;&gt;""),$B100,"")</x:f>
      </x:c>
      <x:c r="L100" t="str">
        <x:f>IF(AND($I100="atc-sfm",$D100&lt;&gt;""),$D100,"")</x:f>
      </x:c>
      <x:c r="M100" t="str">
        <x:f>IF(AND($I100="atc-rnd",$D100&lt;&gt;""),$B100,"")</x:f>
      </x:c>
      <x:c r="N100" t="str">
        <x:f>IF(AND($I100="atc-rnd",$D100&lt;&gt;""),$D100,"")</x:f>
      </x:c>
      <x:c r="O100" t="str">
        <x:f>IF(AND($I100="rec-sfm",$D100&lt;&gt;""),$B100,"")</x:f>
      </x:c>
      <x:c r="P100" t="str">
        <x:f>IF(AND($I100="rec-sfm",$D100&lt;&gt;""),$D100,"")</x:f>
      </x:c>
      <x:c r="Q100" t="n">
        <x:f>IF(AND($I100="rec-rnd",$D100&lt;&gt;""),$B100,"")</x:f>
        <x:v>0.889693710829551</x:v>
      </x:c>
      <x:c r="R100" t="n">
        <x:f>IF(AND($I100="rec-rnd",$D100&lt;&gt;""),$D100,"")</x:f>
        <x:v>0.341910660266876</x:v>
      </x:c>
    </x:row>
    <x:row r="101">
      <x:c r="A101" t="str">
        <x:f>'Corr'!C62&amp;"-"&amp;'Corr'!D62&amp;"-"&amp;'Corr'!E62&amp;"-"&amp;'Corr'!F62</x:f>
        <x:v>rec-sfm-v08-p250</x:v>
      </x:c>
      <x:c r="B101" t="n">
        <x:f>'Corr'!B62</x:f>
        <x:v>0.870480833466217</x:v>
      </x:c>
      <x:c r="C101" t="n">
        <x:f>'MAE'!B62</x:f>
        <x:v>0.401403456926345</x:v>
      </x:c>
      <x:c r="D101" t="n">
        <x:f>IF(C101&lt;=$B$3,C101,"")</x:f>
        <x:v>0.401403456926345</x:v>
      </x:c>
      <x:c r="E101" t="str">
        <x:f>'Corr'!C62</x:f>
        <x:v>rec</x:v>
      </x:c>
      <x:c r="F101" t="str">
        <x:f>'Corr'!D62</x:f>
        <x:v>sfm</x:v>
      </x:c>
      <x:c r="G101" t="str">
        <x:f>'Corr'!E62</x:f>
        <x:v>v08</x:v>
      </x:c>
      <x:c r="H101" t="str">
        <x:f>'Corr'!F62</x:f>
        <x:v>p250</x:v>
      </x:c>
      <x:c r="I101" t="str">
        <x:f>E101&amp;"-"&amp;F101</x:f>
        <x:v>rec-sfm</x:v>
      </x:c>
      <x:c r="K101" t="str">
        <x:f>IF(AND($I101="atc-sfm",$D101&lt;&gt;""),$B101,"")</x:f>
      </x:c>
      <x:c r="L101" t="str">
        <x:f>IF(AND($I101="atc-sfm",$D101&lt;&gt;""),$D101,"")</x:f>
      </x:c>
      <x:c r="M101" t="str">
        <x:f>IF(AND($I101="atc-rnd",$D101&lt;&gt;""),$B101,"")</x:f>
      </x:c>
      <x:c r="N101" t="str">
        <x:f>IF(AND($I101="atc-rnd",$D101&lt;&gt;""),$D101,"")</x:f>
      </x:c>
      <x:c r="O101" t="n">
        <x:f>IF(AND($I101="rec-sfm",$D101&lt;&gt;""),$B101,"")</x:f>
        <x:v>0.870480833466217</x:v>
      </x:c>
      <x:c r="P101" t="n">
        <x:f>IF(AND($I101="rec-sfm",$D101&lt;&gt;""),$D101,"")</x:f>
        <x:v>0.401403456926345</x:v>
      </x:c>
      <x:c r="Q101" t="str">
        <x:f>IF(AND($I101="rec-rnd",$D101&lt;&gt;""),$B101,"")</x:f>
      </x:c>
      <x:c r="R101" t="str">
        <x:f>IF(AND($I101="rec-rnd",$D101&lt;&gt;""),$D101,"")</x:f>
      </x:c>
    </x:row>
    <x:row r="102">
      <x:c r="A102" t="str">
        <x:f>'Corr'!C63&amp;"-"&amp;'Corr'!D63&amp;"-"&amp;'Corr'!E63&amp;"-"&amp;'Corr'!F63</x:f>
        <x:v>rec-sfm-v08-p1500</x:v>
      </x:c>
      <x:c r="B102" t="n">
        <x:f>'Corr'!B63</x:f>
        <x:v>0.843093725466175</x:v>
      </x:c>
      <x:c r="C102" t="n">
        <x:f>'MAE'!B63</x:f>
        <x:v>0.383568346500396</x:v>
      </x:c>
      <x:c r="D102" t="n">
        <x:f>IF(C102&lt;=$B$3,C102,"")</x:f>
        <x:v>0.383568346500396</x:v>
      </x:c>
      <x:c r="E102" t="str">
        <x:f>'Corr'!C63</x:f>
        <x:v>rec</x:v>
      </x:c>
      <x:c r="F102" t="str">
        <x:f>'Corr'!D63</x:f>
        <x:v>sfm</x:v>
      </x:c>
      <x:c r="G102" t="str">
        <x:f>'Corr'!E63</x:f>
        <x:v>v08</x:v>
      </x:c>
      <x:c r="H102" t="str">
        <x:f>'Corr'!F63</x:f>
        <x:v>p1500</x:v>
      </x:c>
      <x:c r="I102" t="str">
        <x:f>E102&amp;"-"&amp;F102</x:f>
        <x:v>rec-sfm</x:v>
      </x:c>
      <x:c r="K102" t="str">
        <x:f>IF(AND($I102="atc-sfm",$D102&lt;&gt;""),$B102,"")</x:f>
      </x:c>
      <x:c r="L102" t="str">
        <x:f>IF(AND($I102="atc-sfm",$D102&lt;&gt;""),$D102,"")</x:f>
      </x:c>
      <x:c r="M102" t="str">
        <x:f>IF(AND($I102="atc-rnd",$D102&lt;&gt;""),$B102,"")</x:f>
      </x:c>
      <x:c r="N102" t="str">
        <x:f>IF(AND($I102="atc-rnd",$D102&lt;&gt;""),$D102,"")</x:f>
      </x:c>
      <x:c r="O102" t="n">
        <x:f>IF(AND($I102="rec-sfm",$D102&lt;&gt;""),$B102,"")</x:f>
        <x:v>0.843093725466175</x:v>
      </x:c>
      <x:c r="P102" t="n">
        <x:f>IF(AND($I102="rec-sfm",$D102&lt;&gt;""),$D102,"")</x:f>
        <x:v>0.383568346500396</x:v>
      </x:c>
      <x:c r="Q102" t="str">
        <x:f>IF(AND($I102="rec-rnd",$D102&lt;&gt;""),$B102,"")</x:f>
      </x:c>
      <x:c r="R102" t="str">
        <x:f>IF(AND($I102="rec-rnd",$D102&lt;&gt;""),$D102,"")</x:f>
      </x:c>
    </x:row>
    <x:row r="103">
      <x:c r="A103" t="str">
        <x:f>'Corr'!C64&amp;"-"&amp;'Corr'!D64&amp;"-"&amp;'Corr'!E64&amp;"-"&amp;'Corr'!F64</x:f>
        <x:v>atc-rnd-v13-p250</x:v>
      </x:c>
      <x:c r="B103" t="n">
        <x:f>'Corr'!B64</x:f>
        <x:v>0.923031320206992</x:v>
      </x:c>
      <x:c r="C103" t="n">
        <x:f>'MAE'!B64</x:f>
        <x:v>0.23660372197628</x:v>
      </x:c>
      <x:c r="D103" t="n">
        <x:f>IF(C103&lt;=$B$3,C103,"")</x:f>
        <x:v>0.23660372197628</x:v>
      </x:c>
      <x:c r="E103" t="str">
        <x:f>'Corr'!C64</x:f>
        <x:v>atc</x:v>
      </x:c>
      <x:c r="F103" t="str">
        <x:f>'Corr'!D64</x:f>
        <x:v>rnd</x:v>
      </x:c>
      <x:c r="G103" t="str">
        <x:f>'Corr'!E64</x:f>
        <x:v>v13</x:v>
      </x:c>
      <x:c r="H103" t="str">
        <x:f>'Corr'!F64</x:f>
        <x:v>p250</x:v>
      </x:c>
      <x:c r="I103" t="str">
        <x:f>E103&amp;"-"&amp;F103</x:f>
        <x:v>atc-rnd</x:v>
      </x:c>
      <x:c r="K103" t="str">
        <x:f>IF(AND($I103="atc-sfm",$D103&lt;&gt;""),$B103,"")</x:f>
      </x:c>
      <x:c r="L103" t="str">
        <x:f>IF(AND($I103="atc-sfm",$D103&lt;&gt;""),$D103,"")</x:f>
      </x:c>
      <x:c r="M103" t="n">
        <x:f>IF(AND($I103="atc-rnd",$D103&lt;&gt;""),$B103,"")</x:f>
        <x:v>0.923031320206992</x:v>
      </x:c>
      <x:c r="N103" t="n">
        <x:f>IF(AND($I103="atc-rnd",$D103&lt;&gt;""),$D103,"")</x:f>
        <x:v>0.23660372197628</x:v>
      </x:c>
      <x:c r="O103" t="str">
        <x:f>IF(AND($I103="rec-sfm",$D103&lt;&gt;""),$B103,"")</x:f>
      </x:c>
      <x:c r="P103" t="str">
        <x:f>IF(AND($I103="rec-sfm",$D103&lt;&gt;""),$D103,"")</x:f>
      </x:c>
      <x:c r="Q103" t="str">
        <x:f>IF(AND($I103="rec-rnd",$D103&lt;&gt;""),$B103,"")</x:f>
      </x:c>
      <x:c r="R103" t="str">
        <x:f>IF(AND($I103="rec-rnd",$D103&lt;&gt;""),$D103,"")</x:f>
      </x:c>
    </x:row>
    <x:row r="104">
      <x:c r="A104" t="str">
        <x:f>'Corr'!C65&amp;"-"&amp;'Corr'!D65&amp;"-"&amp;'Corr'!E65&amp;"-"&amp;'Corr'!F65</x:f>
        <x:v>atc-sfm-v18-p1500</x:v>
      </x:c>
      <x:c r="B104" t="n">
        <x:f>'Corr'!B65</x:f>
        <x:v>0.887349760992709</x:v>
      </x:c>
      <x:c r="C104" t="n">
        <x:f>'MAE'!B65</x:f>
        <x:v>0.367737263441085</x:v>
      </x:c>
      <x:c r="D104" t="n">
        <x:f>IF(C104&lt;=$B$3,C104,"")</x:f>
        <x:v>0.367737263441085</x:v>
      </x:c>
      <x:c r="E104" t="str">
        <x:f>'Corr'!C65</x:f>
        <x:v>atc</x:v>
      </x:c>
      <x:c r="F104" t="str">
        <x:f>'Corr'!D65</x:f>
        <x:v>sfm</x:v>
      </x:c>
      <x:c r="G104" t="str">
        <x:f>'Corr'!E65</x:f>
        <x:v>v18</x:v>
      </x:c>
      <x:c r="H104" t="str">
        <x:f>'Corr'!F65</x:f>
        <x:v>p1500</x:v>
      </x:c>
      <x:c r="I104" t="str">
        <x:f>E104&amp;"-"&amp;F104</x:f>
        <x:v>atc-sfm</x:v>
      </x:c>
      <x:c r="K104" t="n">
        <x:f>IF(AND($I104="atc-sfm",$D104&lt;&gt;""),$B104,"")</x:f>
        <x:v>0.887349760992709</x:v>
      </x:c>
      <x:c r="L104" t="n">
        <x:f>IF(AND($I104="atc-sfm",$D104&lt;&gt;""),$D104,"")</x:f>
        <x:v>0.367737263441085</x:v>
      </x:c>
      <x:c r="M104" t="str">
        <x:f>IF(AND($I104="atc-rnd",$D104&lt;&gt;""),$B104,"")</x:f>
      </x:c>
      <x:c r="N104" t="str">
        <x:f>IF(AND($I104="atc-rnd",$D104&lt;&gt;""),$D104,"")</x:f>
      </x:c>
      <x:c r="O104" t="str">
        <x:f>IF(AND($I104="rec-sfm",$D104&lt;&gt;""),$B104,"")</x:f>
      </x:c>
      <x:c r="P104" t="str">
        <x:f>IF(AND($I104="rec-sfm",$D104&lt;&gt;""),$D104,"")</x:f>
      </x:c>
      <x:c r="Q104" t="str">
        <x:f>IF(AND($I104="rec-rnd",$D104&lt;&gt;""),$B104,"")</x:f>
      </x:c>
      <x:c r="R104" t="str">
        <x:f>IF(AND($I104="rec-rnd",$D104&lt;&gt;""),$D104,"")</x:f>
      </x:c>
    </x:row>
    <x:row r="105">
      <x:c r="A105" t="str">
        <x:f>'Corr'!C66&amp;"-"&amp;'Corr'!D66&amp;"-"&amp;'Corr'!E66&amp;"-"&amp;'Corr'!F66</x:f>
        <x:v>rec-sfm-v08-p100</x:v>
      </x:c>
      <x:c r="B105" t="n">
        <x:f>'Corr'!B66</x:f>
        <x:v>0.902560521027353</x:v>
      </x:c>
      <x:c r="C105" t="n">
        <x:f>'MAE'!B66</x:f>
        <x:v>0.256013214588165</x:v>
      </x:c>
      <x:c r="D105" t="n">
        <x:f>IF(C105&lt;=$B$3,C105,"")</x:f>
        <x:v>0.256013214588165</x:v>
      </x:c>
      <x:c r="E105" t="str">
        <x:f>'Corr'!C66</x:f>
        <x:v>rec</x:v>
      </x:c>
      <x:c r="F105" t="str">
        <x:f>'Corr'!D66</x:f>
        <x:v>sfm</x:v>
      </x:c>
      <x:c r="G105" t="str">
        <x:f>'Corr'!E66</x:f>
        <x:v>v08</x:v>
      </x:c>
      <x:c r="H105" t="str">
        <x:f>'Corr'!F66</x:f>
        <x:v>p100</x:v>
      </x:c>
      <x:c r="I105" t="str">
        <x:f>E105&amp;"-"&amp;F105</x:f>
        <x:v>rec-sfm</x:v>
      </x:c>
      <x:c r="K105" t="str">
        <x:f>IF(AND($I105="atc-sfm",$D105&lt;&gt;""),$B105,"")</x:f>
      </x:c>
      <x:c r="L105" t="str">
        <x:f>IF(AND($I105="atc-sfm",$D105&lt;&gt;""),$D105,"")</x:f>
      </x:c>
      <x:c r="M105" t="str">
        <x:f>IF(AND($I105="atc-rnd",$D105&lt;&gt;""),$B105,"")</x:f>
      </x:c>
      <x:c r="N105" t="str">
        <x:f>IF(AND($I105="atc-rnd",$D105&lt;&gt;""),$D105,"")</x:f>
      </x:c>
      <x:c r="O105" t="n">
        <x:f>IF(AND($I105="rec-sfm",$D105&lt;&gt;""),$B105,"")</x:f>
        <x:v>0.902560521027353</x:v>
      </x:c>
      <x:c r="P105" t="n">
        <x:f>IF(AND($I105="rec-sfm",$D105&lt;&gt;""),$D105,"")</x:f>
        <x:v>0.256013214588165</x:v>
      </x:c>
      <x:c r="Q105" t="str">
        <x:f>IF(AND($I105="rec-rnd",$D105&lt;&gt;""),$B105,"")</x:f>
      </x:c>
      <x:c r="R105" t="str">
        <x:f>IF(AND($I105="rec-rnd",$D105&lt;&gt;""),$D105,"")</x:f>
      </x:c>
    </x:row>
    <x:row r="106">
      <x:c r="A106" t="str">
        <x:f>'Corr'!C67&amp;"-"&amp;'Corr'!D67&amp;"-"&amp;'Corr'!E67&amp;"-"&amp;'Corr'!F67</x:f>
        <x:v>rec-rnd-v08-p250</x:v>
      </x:c>
      <x:c r="B106" t="n">
        <x:f>'Corr'!B67</x:f>
        <x:v>0.898557365396249</x:v>
      </x:c>
      <x:c r="C106" t="n">
        <x:f>'MAE'!B67</x:f>
        <x:v>0.319427102804183</x:v>
      </x:c>
      <x:c r="D106" t="n">
        <x:f>IF(C106&lt;=$B$3,C106,"")</x:f>
        <x:v>0.319427102804183</x:v>
      </x:c>
      <x:c r="E106" t="str">
        <x:f>'Corr'!C67</x:f>
        <x:v>rec</x:v>
      </x:c>
      <x:c r="F106" t="str">
        <x:f>'Corr'!D67</x:f>
        <x:v>rnd</x:v>
      </x:c>
      <x:c r="G106" t="str">
        <x:f>'Corr'!E67</x:f>
        <x:v>v08</x:v>
      </x:c>
      <x:c r="H106" t="str">
        <x:f>'Corr'!F67</x:f>
        <x:v>p250</x:v>
      </x:c>
      <x:c r="I106" t="str">
        <x:f>E106&amp;"-"&amp;F106</x:f>
        <x:v>rec-rnd</x:v>
      </x:c>
      <x:c r="K106" t="str">
        <x:f>IF(AND($I106="atc-sfm",$D106&lt;&gt;""),$B106,"")</x:f>
      </x:c>
      <x:c r="L106" t="str">
        <x:f>IF(AND($I106="atc-sfm",$D106&lt;&gt;""),$D106,"")</x:f>
      </x:c>
      <x:c r="M106" t="str">
        <x:f>IF(AND($I106="atc-rnd",$D106&lt;&gt;""),$B106,"")</x:f>
      </x:c>
      <x:c r="N106" t="str">
        <x:f>IF(AND($I106="atc-rnd",$D106&lt;&gt;""),$D106,"")</x:f>
      </x:c>
      <x:c r="O106" t="str">
        <x:f>IF(AND($I106="rec-sfm",$D106&lt;&gt;""),$B106,"")</x:f>
      </x:c>
      <x:c r="P106" t="str">
        <x:f>IF(AND($I106="rec-sfm",$D106&lt;&gt;""),$D106,"")</x:f>
      </x:c>
      <x:c r="Q106" t="n">
        <x:f>IF(AND($I106="rec-rnd",$D106&lt;&gt;""),$B106,"")</x:f>
        <x:v>0.898557365396249</x:v>
      </x:c>
      <x:c r="R106" t="n">
        <x:f>IF(AND($I106="rec-rnd",$D106&lt;&gt;""),$D106,"")</x:f>
        <x:v>0.319427102804183</x:v>
      </x:c>
    </x:row>
    <x:row r="107">
      <x:c r="A107" t="str">
        <x:f>'Corr'!C68&amp;"-"&amp;'Corr'!D68&amp;"-"&amp;'Corr'!E68&amp;"-"&amp;'Corr'!F68</x:f>
        <x:v>atc-rnd-v13-p100</x:v>
      </x:c>
      <x:c r="B107" t="n">
        <x:f>'Corr'!B68</x:f>
        <x:v>0.932409323117704</x:v>
      </x:c>
      <x:c r="C107" t="n">
        <x:f>'MAE'!B68</x:f>
        <x:v>0.205128893256187</x:v>
      </x:c>
      <x:c r="D107" t="n">
        <x:f>IF(C107&lt;=$B$3,C107,"")</x:f>
        <x:v>0.205128893256187</x:v>
      </x:c>
      <x:c r="E107" t="str">
        <x:f>'Corr'!C68</x:f>
        <x:v>atc</x:v>
      </x:c>
      <x:c r="F107" t="str">
        <x:f>'Corr'!D68</x:f>
        <x:v>rnd</x:v>
      </x:c>
      <x:c r="G107" t="str">
        <x:f>'Corr'!E68</x:f>
        <x:v>v13</x:v>
      </x:c>
      <x:c r="H107" t="str">
        <x:f>'Corr'!F68</x:f>
        <x:v>p100</x:v>
      </x:c>
      <x:c r="I107" t="str">
        <x:f>E107&amp;"-"&amp;F107</x:f>
        <x:v>atc-rnd</x:v>
      </x:c>
      <x:c r="K107" t="str">
        <x:f>IF(AND($I107="atc-sfm",$D107&lt;&gt;""),$B107,"")</x:f>
      </x:c>
      <x:c r="L107" t="str">
        <x:f>IF(AND($I107="atc-sfm",$D107&lt;&gt;""),$D107,"")</x:f>
      </x:c>
      <x:c r="M107" t="n">
        <x:f>IF(AND($I107="atc-rnd",$D107&lt;&gt;""),$B107,"")</x:f>
        <x:v>0.932409323117704</x:v>
      </x:c>
      <x:c r="N107" t="n">
        <x:f>IF(AND($I107="atc-rnd",$D107&lt;&gt;""),$D107,"")</x:f>
        <x:v>0.205128893256187</x:v>
      </x:c>
      <x:c r="O107" t="str">
        <x:f>IF(AND($I107="rec-sfm",$D107&lt;&gt;""),$B107,"")</x:f>
      </x:c>
      <x:c r="P107" t="str">
        <x:f>IF(AND($I107="rec-sfm",$D107&lt;&gt;""),$D107,"")</x:f>
      </x:c>
      <x:c r="Q107" t="str">
        <x:f>IF(AND($I107="rec-rnd",$D107&lt;&gt;""),$B107,"")</x:f>
      </x:c>
      <x:c r="R107" t="str">
        <x:f>IF(AND($I107="rec-rnd",$D107&lt;&gt;""),$D107,"")</x:f>
      </x:c>
    </x:row>
    <x:row r="108">
      <x:c r="A108" t="str">
        <x:f>'Corr'!C69&amp;"-"&amp;'Corr'!D69&amp;"-"&amp;'Corr'!E69&amp;"-"&amp;'Corr'!F69</x:f>
        <x:v>rec-sfm-v08-p500</x:v>
      </x:c>
      <x:c r="B108" t="n">
        <x:f>'Corr'!B69</x:f>
        <x:v>0.886698955582352</x:v>
      </x:c>
      <x:c r="C108" t="n">
        <x:f>'MAE'!B69</x:f>
        <x:v>0.278393894433975</x:v>
      </x:c>
      <x:c r="D108" t="n">
        <x:f>IF(C108&lt;=$B$3,C108,"")</x:f>
        <x:v>0.278393894433975</x:v>
      </x:c>
      <x:c r="E108" t="str">
        <x:f>'Corr'!C69</x:f>
        <x:v>rec</x:v>
      </x:c>
      <x:c r="F108" t="str">
        <x:f>'Corr'!D69</x:f>
        <x:v>sfm</x:v>
      </x:c>
      <x:c r="G108" t="str">
        <x:f>'Corr'!E69</x:f>
        <x:v>v08</x:v>
      </x:c>
      <x:c r="H108" t="str">
        <x:f>'Corr'!F69</x:f>
        <x:v>p500</x:v>
      </x:c>
      <x:c r="I108" t="str">
        <x:f>E108&amp;"-"&amp;F108</x:f>
        <x:v>rec-sfm</x:v>
      </x:c>
      <x:c r="K108" t="str">
        <x:f>IF(AND($I108="atc-sfm",$D108&lt;&gt;""),$B108,"")</x:f>
      </x:c>
      <x:c r="L108" t="str">
        <x:f>IF(AND($I108="atc-sfm",$D108&lt;&gt;""),$D108,"")</x:f>
      </x:c>
      <x:c r="M108" t="str">
        <x:f>IF(AND($I108="atc-rnd",$D108&lt;&gt;""),$B108,"")</x:f>
      </x:c>
      <x:c r="N108" t="str">
        <x:f>IF(AND($I108="atc-rnd",$D108&lt;&gt;""),$D108,"")</x:f>
      </x:c>
      <x:c r="O108" t="n">
        <x:f>IF(AND($I108="rec-sfm",$D108&lt;&gt;""),$B108,"")</x:f>
        <x:v>0.886698955582352</x:v>
      </x:c>
      <x:c r="P108" t="n">
        <x:f>IF(AND($I108="rec-sfm",$D108&lt;&gt;""),$D108,"")</x:f>
        <x:v>0.278393894433975</x:v>
      </x:c>
      <x:c r="Q108" t="str">
        <x:f>IF(AND($I108="rec-rnd",$D108&lt;&gt;""),$B108,"")</x:f>
      </x:c>
      <x:c r="R108" t="str">
        <x:f>IF(AND($I108="rec-rnd",$D108&lt;&gt;""),$D108,"")</x:f>
      </x:c>
    </x:row>
    <x:row r="109">
      <x:c r="A109" t="str">
        <x:f>'Corr'!C70&amp;"-"&amp;'Corr'!D70&amp;"-"&amp;'Corr'!E70&amp;"-"&amp;'Corr'!F70</x:f>
        <x:v>atc-rnd-v13-p500</x:v>
      </x:c>
      <x:c r="B109" t="n">
        <x:f>'Corr'!B70</x:f>
        <x:v>0.922361197651729</x:v>
      </x:c>
      <x:c r="C109" t="n">
        <x:f>'MAE'!B70</x:f>
        <x:v>0.244976133108139</x:v>
      </x:c>
      <x:c r="D109" t="n">
        <x:f>IF(C109&lt;=$B$3,C109,"")</x:f>
        <x:v>0.244976133108139</x:v>
      </x:c>
      <x:c r="E109" t="str">
        <x:f>'Corr'!C70</x:f>
        <x:v>atc</x:v>
      </x:c>
      <x:c r="F109" t="str">
        <x:f>'Corr'!D70</x:f>
        <x:v>rnd</x:v>
      </x:c>
      <x:c r="G109" t="str">
        <x:f>'Corr'!E70</x:f>
        <x:v>v13</x:v>
      </x:c>
      <x:c r="H109" t="str">
        <x:f>'Corr'!F70</x:f>
        <x:v>p500</x:v>
      </x:c>
      <x:c r="I109" t="str">
        <x:f>E109&amp;"-"&amp;F109</x:f>
        <x:v>atc-rnd</x:v>
      </x:c>
      <x:c r="K109" t="str">
        <x:f>IF(AND($I109="atc-sfm",$D109&lt;&gt;""),$B109,"")</x:f>
      </x:c>
      <x:c r="L109" t="str">
        <x:f>IF(AND($I109="atc-sfm",$D109&lt;&gt;""),$D109,"")</x:f>
      </x:c>
      <x:c r="M109" t="n">
        <x:f>IF(AND($I109="atc-rnd",$D109&lt;&gt;""),$B109,"")</x:f>
        <x:v>0.922361197651729</x:v>
      </x:c>
      <x:c r="N109" t="n">
        <x:f>IF(AND($I109="atc-rnd",$D109&lt;&gt;""),$D109,"")</x:f>
        <x:v>0.244976133108139</x:v>
      </x:c>
      <x:c r="O109" t="str">
        <x:f>IF(AND($I109="rec-sfm",$D109&lt;&gt;""),$B109,"")</x:f>
      </x:c>
      <x:c r="P109" t="str">
        <x:f>IF(AND($I109="rec-sfm",$D109&lt;&gt;""),$D109,"")</x:f>
      </x:c>
      <x:c r="Q109" t="str">
        <x:f>IF(AND($I109="rec-rnd",$D109&lt;&gt;""),$B109,"")</x:f>
      </x:c>
      <x:c r="R109" t="str">
        <x:f>IF(AND($I109="rec-rnd",$D109&lt;&gt;""),$D109,"")</x:f>
      </x:c>
    </x:row>
  </x:sheetData>
  <x:mergeCells>
    <x:mergeCell ref="A1:W1"/>
    <x:mergeCell ref="A2:W2"/>
  </x:mergeCells>
  <x:pageMargins left="0.7" right="0.7" top="0.75" bottom="0.75" header="0.3" footer="0.3"/>
  <x:drawing xmlns:r="http://schemas.openxmlformats.org/officeDocument/2006/relationships" r:id="Rb71f7655a280474f"/>
</x:worksheet>
</file>